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roo\Desktop\"/>
    </mc:Choice>
  </mc:AlternateContent>
  <xr:revisionPtr revIDLastSave="0" documentId="13_ncr:1_{A772E4C1-E475-4717-8ADA-D390156B02E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F" sheetId="1" r:id="rId1"/>
    <sheet name="Data" sheetId="2" r:id="rId2"/>
  </sheets>
  <externalReferences>
    <externalReference r:id="rId3"/>
  </externalReferences>
  <definedNames>
    <definedName name="_xlchart.v1.0" hidden="1">Data!$A$1</definedName>
    <definedName name="_xlchart.v1.1" hidden="1">Data!$A$2:$A$1001</definedName>
    <definedName name="_xlchart.v1.2" hidden="1">Data!$A$1</definedName>
    <definedName name="_xlchart.v1.3" hidden="1">Data!$A$2:$A$1001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1" l="1"/>
  <c r="K6" i="1"/>
  <c r="C4" i="1"/>
  <c r="C10" i="1" s="1"/>
  <c r="B10" i="1" s="1"/>
  <c r="K5" i="1"/>
  <c r="K7" i="1"/>
  <c r="C24" i="1"/>
  <c r="H12" i="1"/>
  <c r="G7" i="1"/>
  <c r="G6" i="1"/>
  <c r="C25" i="1" l="1"/>
  <c r="C36" i="1" s="1"/>
  <c r="B36" i="1" s="1"/>
  <c r="B4" i="1"/>
  <c r="D4" i="1" s="1"/>
  <c r="D10" i="1"/>
  <c r="C7" i="1"/>
  <c r="B7" i="1" s="1"/>
  <c r="D7" i="1" s="1"/>
  <c r="C5" i="1"/>
  <c r="B5" i="1" s="1"/>
  <c r="B24" i="1"/>
  <c r="D24" i="1" s="1"/>
  <c r="C11" i="1"/>
  <c r="B11" i="1" s="1"/>
  <c r="C8" i="1"/>
  <c r="B8" i="1" s="1"/>
  <c r="C14" i="1"/>
  <c r="C13" i="1"/>
  <c r="B13" i="1" s="1"/>
  <c r="B29" i="1" l="1"/>
  <c r="C26" i="1"/>
  <c r="B26" i="1" s="1"/>
  <c r="B25" i="1" s="1"/>
  <c r="B14" i="1"/>
  <c r="D14" i="1" s="1"/>
  <c r="D11" i="1"/>
  <c r="C6" i="1"/>
  <c r="C9" i="1" s="1"/>
  <c r="C12" i="1" s="1"/>
  <c r="D8" i="1"/>
  <c r="D5" i="1"/>
  <c r="C32" i="1"/>
  <c r="C29" i="1"/>
  <c r="C35" i="1"/>
  <c r="C15" i="1"/>
  <c r="D26" i="1" l="1"/>
  <c r="D25" i="1"/>
  <c r="C33" i="1"/>
  <c r="D29" i="1"/>
  <c r="B35" i="1"/>
  <c r="B6" i="1"/>
  <c r="B9" i="1" s="1"/>
  <c r="B12" i="1" s="1"/>
  <c r="C31" i="1"/>
  <c r="C16" i="1"/>
  <c r="D13" i="1"/>
  <c r="B15" i="1"/>
  <c r="D15" i="1" s="1"/>
  <c r="D36" i="1"/>
  <c r="B16" i="1" l="1"/>
  <c r="B21" i="1" s="1"/>
  <c r="C21" i="1"/>
  <c r="C22" i="1" s="1"/>
  <c r="C30" i="1" s="1"/>
  <c r="B34" i="1"/>
  <c r="G10" i="1" s="1"/>
  <c r="D6" i="1"/>
  <c r="B33" i="1"/>
  <c r="G9" i="1" s="1"/>
  <c r="B31" i="1"/>
  <c r="G8" i="1" s="1"/>
  <c r="B32" i="1"/>
  <c r="G5" i="1" s="1"/>
  <c r="D9" i="1"/>
  <c r="D12" i="1"/>
  <c r="D33" i="1" l="1"/>
  <c r="D32" i="1"/>
  <c r="D31" i="1"/>
  <c r="D16" i="1"/>
  <c r="B22" i="1" l="1"/>
  <c r="G4" i="1" s="1"/>
  <c r="D21" i="1"/>
  <c r="G12" i="1" l="1"/>
  <c r="G13" i="1" s="1"/>
  <c r="B30" i="1"/>
  <c r="D30" i="1" s="1"/>
  <c r="D22" i="1"/>
</calcChain>
</file>

<file path=xl/sharedStrings.xml><?xml version="1.0" encoding="utf-8"?>
<sst xmlns="http://schemas.openxmlformats.org/spreadsheetml/2006/main" count="60" uniqueCount="59">
  <si>
    <t>Criteres</t>
  </si>
  <si>
    <t>Points</t>
  </si>
  <si>
    <t>Bareme</t>
  </si>
  <si>
    <t>T+1</t>
  </si>
  <si>
    <t>T</t>
  </si>
  <si>
    <t>Variation</t>
  </si>
  <si>
    <t>Chiffre d'affaires</t>
  </si>
  <si>
    <t>Résultat net T+1</t>
  </si>
  <si>
    <t>Autres achats et charges externes</t>
  </si>
  <si>
    <t>Ratio Fonds Propres/Encours</t>
  </si>
  <si>
    <t>Valeur Ajoutée</t>
  </si>
  <si>
    <t>Ratio Charges/CA</t>
  </si>
  <si>
    <t>Impots &amp; Taxes</t>
  </si>
  <si>
    <t>Ratio Résultat net/Fonds Propres</t>
  </si>
  <si>
    <t>Charges de personnel</t>
  </si>
  <si>
    <t>Ratio Fonds Propres/Bilan</t>
  </si>
  <si>
    <t>EBE</t>
  </si>
  <si>
    <t>Ratio Dette Fi/Fonds Propres</t>
  </si>
  <si>
    <t>Dotations et reprises aux amortissements et provisions</t>
  </si>
  <si>
    <t>Ratio Evolution Encours/REX</t>
  </si>
  <si>
    <t>Autres charges et produits</t>
  </si>
  <si>
    <t>Résultat d'Exploitation</t>
  </si>
  <si>
    <t>Score</t>
  </si>
  <si>
    <t xml:space="preserve">  - Produits Financiers</t>
  </si>
  <si>
    <t>Score sur 1</t>
  </si>
  <si>
    <t xml:space="preserve">  - Charges Financieres</t>
  </si>
  <si>
    <t>Résultat Financier</t>
  </si>
  <si>
    <t>RCAI</t>
  </si>
  <si>
    <t xml:space="preserve">  - Produits Exceptionnels</t>
  </si>
  <si>
    <t xml:space="preserve">  - Charges Exceptionnelles</t>
  </si>
  <si>
    <t>Résultat exceptionnel</t>
  </si>
  <si>
    <t>Participation des salariés</t>
  </si>
  <si>
    <t>IS et contribution sociale</t>
  </si>
  <si>
    <t>Résultat net</t>
  </si>
  <si>
    <t>Actifs sous gestion</t>
  </si>
  <si>
    <t>Total Capitaux Propres</t>
  </si>
  <si>
    <t>Total Bilan</t>
  </si>
  <si>
    <t>Ratios</t>
  </si>
  <si>
    <t xml:space="preserve">Charges d'exploitation/CA </t>
  </si>
  <si>
    <t xml:space="preserve">Résultat Net /Capitaux propres </t>
  </si>
  <si>
    <t>Capitaux propres / Total de Bilan</t>
  </si>
  <si>
    <t>Capitaux propres / encours gérés</t>
  </si>
  <si>
    <t>Dettes financières / Fonds propres</t>
  </si>
  <si>
    <t>Ratio Evolution Encours/ REX</t>
  </si>
  <si>
    <t>Charges d'exploitation</t>
  </si>
  <si>
    <t>Dettes financières</t>
  </si>
  <si>
    <t>IC EF</t>
  </si>
  <si>
    <t>IC AUM</t>
  </si>
  <si>
    <t>IC Capitaux Propres</t>
  </si>
  <si>
    <t>IC Dette</t>
  </si>
  <si>
    <t>Données</t>
  </si>
  <si>
    <t>Parametres</t>
  </si>
  <si>
    <t>Résulat net</t>
  </si>
  <si>
    <t>Fonds Propres/Encours</t>
  </si>
  <si>
    <t>Charges/CA</t>
  </si>
  <si>
    <t>Résultat net/Fonds Propres</t>
  </si>
  <si>
    <t>Fonds Propres/Bilan</t>
  </si>
  <si>
    <t>Dette Fi/Fonds Propres</t>
  </si>
  <si>
    <t>Evolution Encours/REX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</si>
</sst>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1">
    <xf numFmtId="0" fontId="0" fillId="0" borderId="0" xfId="0"/>
    <xf numFmtId="9" fontId="3" fillId="0" borderId="0" xfId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3" fontId="0" fillId="0" borderId="0" xfId="0" applyNumberFormat="1" applyAlignment="1">
      <alignment horizontal="center" vertical="center"/>
    </xf>
    <xf numFmtId="9" fontId="0" fillId="0" borderId="0" xfId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9" fontId="5" fillId="0" borderId="0" xfId="1" applyFont="1" applyFill="1" applyBorder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vertical="center"/>
    </xf>
    <xf numFmtId="3" fontId="4" fillId="2" borderId="0" xfId="0" applyNumberFormat="1" applyFont="1" applyFill="1" applyAlignment="1">
      <alignment horizontal="center" vertical="center"/>
    </xf>
    <xf numFmtId="9" fontId="3" fillId="2" borderId="0" xfId="1" applyFont="1" applyFill="1" applyBorder="1" applyAlignment="1">
      <alignment horizontal="center" vertical="center"/>
    </xf>
    <xf numFmtId="4" fontId="4" fillId="2" borderId="0" xfId="0" applyNumberFormat="1" applyFont="1" applyFill="1" applyAlignment="1">
      <alignment horizontal="center" vertical="center"/>
    </xf>
    <xf numFmtId="9" fontId="4" fillId="2" borderId="0" xfId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43" fontId="0" fillId="0" borderId="0" xfId="2" applyFont="1"/>
    <xf numFmtId="43" fontId="0" fillId="0" borderId="0" xfId="0" applyNumberFormat="1"/>
    <xf numFmtId="9" fontId="0" fillId="0" borderId="0" xfId="1" applyFont="1"/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15</xdr:row>
          <xdr:rowOff>0</xdr:rowOff>
        </xdr:from>
        <xdr:to>
          <xdr:col>6</xdr:col>
          <xdr:colOff>428625</xdr:colOff>
          <xdr:row>19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roo\Desktop\EF%20m&#233;moire.xls" TargetMode="External"/><Relationship Id="rId1" Type="http://schemas.openxmlformats.org/officeDocument/2006/relationships/externalLinkPath" Target="EF%20m&#233;moir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IG"/>
      <sheetName val="Transco Note"/>
    </sheet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41"/>
  <sheetViews>
    <sheetView tabSelected="1" workbookViewId="0">
      <selection activeCell="B30" sqref="B30"/>
    </sheetView>
  </sheetViews>
  <sheetFormatPr baseColWidth="10" defaultColWidth="9.140625" defaultRowHeight="15" x14ac:dyDescent="0.25"/>
  <cols>
    <col min="1" max="1" width="50.5703125" bestFit="1" customWidth="1"/>
    <col min="2" max="2" width="12.7109375" bestFit="1" customWidth="1"/>
    <col min="3" max="3" width="12.85546875" bestFit="1" customWidth="1"/>
    <col min="4" max="4" width="9.28515625" bestFit="1" customWidth="1"/>
    <col min="6" max="6" width="29" bestFit="1" customWidth="1"/>
    <col min="7" max="7" width="6.5703125" bestFit="1" customWidth="1"/>
    <col min="8" max="8" width="7.42578125" bestFit="1" customWidth="1"/>
    <col min="10" max="10" width="19.28515625" bestFit="1" customWidth="1"/>
  </cols>
  <sheetData>
    <row r="1" spans="1:11" x14ac:dyDescent="0.25">
      <c r="A1" s="2"/>
      <c r="B1" s="3"/>
      <c r="C1" s="3"/>
      <c r="D1" s="3"/>
      <c r="E1" s="2"/>
      <c r="F1" s="2"/>
      <c r="G1" s="2"/>
      <c r="H1" s="2"/>
    </row>
    <row r="2" spans="1:11" x14ac:dyDescent="0.25">
      <c r="A2" s="4"/>
      <c r="B2" s="3"/>
      <c r="C2" s="3"/>
      <c r="D2" s="3"/>
      <c r="E2" s="2"/>
    </row>
    <row r="3" spans="1:11" x14ac:dyDescent="0.25">
      <c r="A3" s="17" t="s">
        <v>50</v>
      </c>
      <c r="B3" s="17" t="s">
        <v>3</v>
      </c>
      <c r="C3" s="17" t="s">
        <v>4</v>
      </c>
      <c r="D3" s="17" t="s">
        <v>5</v>
      </c>
      <c r="E3" s="2"/>
      <c r="F3" s="17" t="s">
        <v>0</v>
      </c>
      <c r="G3" s="17" t="s">
        <v>1</v>
      </c>
      <c r="H3" s="17" t="s">
        <v>2</v>
      </c>
      <c r="J3" s="17" t="s">
        <v>51</v>
      </c>
      <c r="K3" s="17"/>
    </row>
    <row r="4" spans="1:11" x14ac:dyDescent="0.25">
      <c r="A4" s="12" t="s">
        <v>6</v>
      </c>
      <c r="B4" s="13">
        <f ca="1">RANDBETWEEN(C4*(1-K4),C4*(1+4*K4))</f>
        <v>8912759</v>
      </c>
      <c r="C4" s="13">
        <f ca="1">RANDBETWEEN(100000,10000000)</f>
        <v>8698146</v>
      </c>
      <c r="D4" s="14">
        <f t="shared" ref="D4:D16" ca="1" si="0">(B4/C4-1)</f>
        <v>2.4673418910190703E-2</v>
      </c>
      <c r="E4" s="2"/>
      <c r="F4" t="s">
        <v>7</v>
      </c>
      <c r="G4" s="2">
        <f ca="1">IF(B22&gt;0,3,0)</f>
        <v>0</v>
      </c>
      <c r="H4" s="2">
        <v>3</v>
      </c>
      <c r="J4" t="s">
        <v>46</v>
      </c>
      <c r="K4" s="2">
        <f>_xlfn.CONFIDENCE.NORM(0.05,0.05,50)</f>
        <v>1.3859038243496775E-2</v>
      </c>
    </row>
    <row r="5" spans="1:11" x14ac:dyDescent="0.25">
      <c r="A5" s="2" t="s">
        <v>8</v>
      </c>
      <c r="B5" s="6">
        <f ca="1">RANDBETWEEN(C5*(1+K4),C5*(1-K4))</f>
        <v>-4403939</v>
      </c>
      <c r="C5" s="6">
        <f ca="1">RANDBETWEEN(-C4*0.7,-C4*0.2)</f>
        <v>-4450362</v>
      </c>
      <c r="D5" s="7">
        <f t="shared" ca="1" si="0"/>
        <v>-1.0431286263903883E-2</v>
      </c>
      <c r="E5" s="2"/>
      <c r="F5" t="s">
        <v>9</v>
      </c>
      <c r="G5" s="2">
        <f ca="1">IF(B32&lt;0.1%,0,IF(B32&lt;0.3%,1,IF(B32&lt;0.5%,2,IF(B32&lt;1%,3,3))))</f>
        <v>2</v>
      </c>
      <c r="H5" s="2">
        <v>3</v>
      </c>
      <c r="J5" t="s">
        <v>47</v>
      </c>
      <c r="K5" s="2">
        <f>_xlfn.CONFIDENCE.NORM(0.05,2,50)</f>
        <v>0.55436152973987096</v>
      </c>
    </row>
    <row r="6" spans="1:11" x14ac:dyDescent="0.25">
      <c r="A6" s="12" t="s">
        <v>10</v>
      </c>
      <c r="B6" s="13">
        <f ca="1">B4+B5</f>
        <v>4508820</v>
      </c>
      <c r="C6" s="13">
        <f ca="1">C4+C5</f>
        <v>4247784</v>
      </c>
      <c r="D6" s="14">
        <f t="shared" ca="1" si="0"/>
        <v>6.1452277234435693E-2</v>
      </c>
      <c r="E6" s="2"/>
      <c r="F6" t="s">
        <v>11</v>
      </c>
      <c r="G6" s="2">
        <f>IF([1]SIG!B29&lt;75%,3,IF([1]SIG!B29&lt;80%,2,IF([1]SIG!B29&lt;85%,1,0)))</f>
        <v>3</v>
      </c>
      <c r="H6" s="2">
        <v>3</v>
      </c>
      <c r="J6" t="s">
        <v>48</v>
      </c>
      <c r="K6" s="2">
        <f>_xlfn.CONFIDENCE.NORM(0.02,0.5,25)</f>
        <v>0.23263478740408408</v>
      </c>
    </row>
    <row r="7" spans="1:11" x14ac:dyDescent="0.25">
      <c r="A7" s="2" t="s">
        <v>12</v>
      </c>
      <c r="B7" s="6">
        <f ca="1">RANDBETWEEN(C7*(1+K4),C7*(1-K4))</f>
        <v>-872867</v>
      </c>
      <c r="C7" s="6">
        <f ca="1">RANDBETWEEN(-C4*0.1,-C4*0.1)</f>
        <v>-869814</v>
      </c>
      <c r="D7" s="7">
        <f t="shared" ca="1" si="0"/>
        <v>3.5099458045053655E-3</v>
      </c>
      <c r="E7" s="2"/>
      <c r="F7" t="s">
        <v>13</v>
      </c>
      <c r="G7" s="2">
        <f>IF([1]SIG!B30&lt;10%,0,IF([1]SIG!B30&lt;18%,1,IF([1]SIG!B30&lt;25%,2,3)))</f>
        <v>0</v>
      </c>
      <c r="H7" s="2">
        <v>3</v>
      </c>
      <c r="J7" t="s">
        <v>49</v>
      </c>
      <c r="K7" s="2">
        <f>_xlfn.CONFIDENCE.NORM(0.02,3,25)</f>
        <v>1.3958087244245043</v>
      </c>
    </row>
    <row r="8" spans="1:11" x14ac:dyDescent="0.25">
      <c r="A8" s="2" t="s">
        <v>14</v>
      </c>
      <c r="B8" s="6">
        <f ca="1">RANDBETWEEN(C8*(1+K4),C8*(1-K4))</f>
        <v>-4406915</v>
      </c>
      <c r="C8" s="6">
        <f ca="1">RANDBETWEEN(-C4*0.5,-C4*0.5)</f>
        <v>-4349073</v>
      </c>
      <c r="D8" s="7">
        <f t="shared" ca="1" si="0"/>
        <v>1.3299845737241078E-2</v>
      </c>
      <c r="E8" s="2"/>
      <c r="F8" t="s">
        <v>15</v>
      </c>
      <c r="G8" s="2">
        <f ca="1">IF(B31&lt;50%,0,IF(B31&lt;70%,1.5,3))</f>
        <v>3</v>
      </c>
      <c r="H8" s="2">
        <v>3</v>
      </c>
    </row>
    <row r="9" spans="1:11" x14ac:dyDescent="0.25">
      <c r="A9" s="12" t="s">
        <v>16</v>
      </c>
      <c r="B9" s="13">
        <f ca="1">B6+B7+B8</f>
        <v>-770962</v>
      </c>
      <c r="C9" s="13">
        <f ca="1">C6+C7+C8</f>
        <v>-971103</v>
      </c>
      <c r="D9" s="14">
        <f t="shared" ca="1" si="0"/>
        <v>-0.20609657266016068</v>
      </c>
      <c r="E9" s="2"/>
      <c r="F9" t="s">
        <v>17</v>
      </c>
      <c r="G9" s="2">
        <f ca="1">IF(ROUND(B33,3)=0%,2,IF(ABS(B33)&lt;5%,1,0))</f>
        <v>1</v>
      </c>
      <c r="H9" s="2">
        <v>2</v>
      </c>
    </row>
    <row r="10" spans="1:11" x14ac:dyDescent="0.25">
      <c r="A10" s="2" t="s">
        <v>18</v>
      </c>
      <c r="B10" s="6">
        <f ca="1">RANDBETWEEN(C10*(1+K4),C10*(1-2*K4))</f>
        <v>-8483</v>
      </c>
      <c r="C10" s="6">
        <f ca="1">RANDBETWEEN(-C4*0.001,-C4*0.001)</f>
        <v>-8698</v>
      </c>
      <c r="D10" s="7">
        <f t="shared" ca="1" si="0"/>
        <v>-2.4718326051966E-2</v>
      </c>
      <c r="E10" s="2"/>
      <c r="F10" t="s">
        <v>19</v>
      </c>
      <c r="G10" s="2">
        <f ca="1">IF(B34&gt;1.1,0,IF(B34&gt;1,1.5,3))</f>
        <v>1.5</v>
      </c>
      <c r="H10" s="2">
        <v>3</v>
      </c>
    </row>
    <row r="11" spans="1:11" x14ac:dyDescent="0.25">
      <c r="A11" s="2" t="s">
        <v>20</v>
      </c>
      <c r="B11" s="6">
        <f ca="1">IF(C11&gt;0,RANDBETWEEN(C11*0.9,C11*1.1),RANDBETWEEN(C11*(1-K4),-C11*(1+K4)))</f>
        <v>43724</v>
      </c>
      <c r="C11" s="6">
        <f ca="1">RANDBETWEEN(-C4*0.01,C4*0.01)</f>
        <v>47190</v>
      </c>
      <c r="D11" s="7">
        <f t="shared" ca="1" si="0"/>
        <v>-7.3447764356855294E-2</v>
      </c>
      <c r="E11" s="2"/>
      <c r="G11" s="2"/>
      <c r="H11" s="2"/>
    </row>
    <row r="12" spans="1:11" x14ac:dyDescent="0.25">
      <c r="A12" s="12" t="s">
        <v>21</v>
      </c>
      <c r="B12" s="13">
        <f ca="1">B9+B10+B11</f>
        <v>-735721</v>
      </c>
      <c r="C12" s="13">
        <f ca="1">C9+C10+C11</f>
        <v>-932611</v>
      </c>
      <c r="D12" s="14">
        <f t="shared" ca="1" si="0"/>
        <v>-0.21111696087650689</v>
      </c>
      <c r="E12" s="2"/>
      <c r="F12" t="s">
        <v>22</v>
      </c>
      <c r="G12" s="2">
        <f ca="1">SUM(G4:G10)</f>
        <v>10.5</v>
      </c>
      <c r="H12" s="2">
        <f>SUM(H4:H10)</f>
        <v>20</v>
      </c>
    </row>
    <row r="13" spans="1:11" x14ac:dyDescent="0.25">
      <c r="A13" s="8" t="s">
        <v>23</v>
      </c>
      <c r="B13" s="9">
        <f ca="1">RANDBETWEEN(C13*(1-K4),C13*(1+K4))</f>
        <v>2522</v>
      </c>
      <c r="C13" s="9">
        <f ca="1">RANDBETWEEN(0,+C4*0.001)</f>
        <v>2550</v>
      </c>
      <c r="D13" s="10">
        <f t="shared" ca="1" si="0"/>
        <v>-1.098039215686275E-2</v>
      </c>
      <c r="E13" s="2"/>
      <c r="F13" t="s">
        <v>24</v>
      </c>
      <c r="G13" s="2">
        <f ca="1">G12/H12</f>
        <v>0.52500000000000002</v>
      </c>
      <c r="H13" s="2">
        <v>1</v>
      </c>
    </row>
    <row r="14" spans="1:11" x14ac:dyDescent="0.25">
      <c r="A14" s="8" t="s">
        <v>25</v>
      </c>
      <c r="B14" s="9">
        <f ca="1">RANDBETWEEN(C14*(1+K4),C14*(1-K4))</f>
        <v>-1397</v>
      </c>
      <c r="C14" s="9">
        <f ca="1">RANDBETWEEN(-C4*0.001,0)</f>
        <v>-1378</v>
      </c>
      <c r="D14" s="10">
        <f t="shared" ca="1" si="0"/>
        <v>1.3788098693759077E-2</v>
      </c>
      <c r="E14" s="2"/>
    </row>
    <row r="15" spans="1:11" x14ac:dyDescent="0.25">
      <c r="A15" s="5" t="s">
        <v>26</v>
      </c>
      <c r="B15" s="11">
        <f ca="1">B14+B13</f>
        <v>1125</v>
      </c>
      <c r="C15" s="11">
        <f ca="1">C13+C14</f>
        <v>1172</v>
      </c>
      <c r="D15" s="1">
        <f t="shared" ca="1" si="0"/>
        <v>-4.0102389078498279E-2</v>
      </c>
      <c r="E15" s="2"/>
      <c r="F15" s="2"/>
      <c r="G15" s="2"/>
      <c r="H15" s="2"/>
    </row>
    <row r="16" spans="1:11" x14ac:dyDescent="0.25">
      <c r="A16" s="12" t="s">
        <v>27</v>
      </c>
      <c r="B16" s="13">
        <f ca="1">B12+B15</f>
        <v>-734596</v>
      </c>
      <c r="C16" s="13">
        <f ca="1">C12+C15</f>
        <v>-931439</v>
      </c>
      <c r="D16" s="14">
        <f t="shared" ca="1" si="0"/>
        <v>-0.21133214306036141</v>
      </c>
      <c r="E16" s="2"/>
      <c r="F16" s="2"/>
      <c r="G16" s="2"/>
      <c r="H16" s="2"/>
    </row>
    <row r="17" spans="1:8" x14ac:dyDescent="0.25">
      <c r="A17" s="8" t="s">
        <v>28</v>
      </c>
      <c r="B17" s="9"/>
      <c r="C17" s="9"/>
      <c r="D17" s="10"/>
      <c r="E17" s="2"/>
      <c r="F17" s="2"/>
      <c r="G17" s="2"/>
      <c r="H17" s="2"/>
    </row>
    <row r="18" spans="1:8" x14ac:dyDescent="0.25">
      <c r="A18" s="8" t="s">
        <v>29</v>
      </c>
      <c r="B18" s="9"/>
      <c r="C18" s="9"/>
      <c r="D18" s="10"/>
      <c r="E18" s="2"/>
      <c r="F18" s="2"/>
      <c r="G18" s="2"/>
      <c r="H18" s="2"/>
    </row>
    <row r="19" spans="1:8" x14ac:dyDescent="0.25">
      <c r="A19" s="5" t="s">
        <v>30</v>
      </c>
      <c r="B19" s="11"/>
      <c r="C19" s="11"/>
      <c r="D19" s="1"/>
      <c r="E19" s="2"/>
      <c r="F19" s="2"/>
      <c r="G19" s="2"/>
      <c r="H19" s="2"/>
    </row>
    <row r="20" spans="1:8" x14ac:dyDescent="0.25">
      <c r="A20" s="5" t="s">
        <v>31</v>
      </c>
      <c r="B20" s="11"/>
      <c r="C20" s="11"/>
      <c r="D20" s="1"/>
      <c r="E20" s="2"/>
      <c r="F20" s="2"/>
      <c r="G20" s="2"/>
      <c r="H20" s="2"/>
    </row>
    <row r="21" spans="1:8" x14ac:dyDescent="0.25">
      <c r="A21" s="5" t="s">
        <v>32</v>
      </c>
      <c r="B21" s="11">
        <f ca="1">IF(B16&gt;0,IF(B16&lt;42500,B16*0.15,0.25*B16),0)</f>
        <v>0</v>
      </c>
      <c r="C21" s="11">
        <f ca="1">IF(C16&gt;0,IF(C16&lt;42500,C16*0.15,0.25*C16),0)</f>
        <v>0</v>
      </c>
      <c r="D21" s="1" t="e">
        <f ca="1">(B21/C21-1)</f>
        <v>#DIV/0!</v>
      </c>
      <c r="E21" s="2"/>
      <c r="F21" s="2"/>
      <c r="G21" s="2"/>
      <c r="H21" s="2"/>
    </row>
    <row r="22" spans="1:8" x14ac:dyDescent="0.25">
      <c r="A22" s="12" t="s">
        <v>33</v>
      </c>
      <c r="B22" s="13">
        <f ca="1">B21+B20+B19+B16</f>
        <v>-734596</v>
      </c>
      <c r="C22" s="13">
        <f ca="1">C21+C20+C19+C16</f>
        <v>-931439</v>
      </c>
      <c r="D22" s="14">
        <f ca="1">(B22/C22-1)</f>
        <v>-0.21133214306036141</v>
      </c>
      <c r="E22" s="2"/>
      <c r="F22" s="2"/>
      <c r="G22" s="2"/>
      <c r="H22" s="2"/>
    </row>
    <row r="23" spans="1:8" x14ac:dyDescent="0.25">
      <c r="A23" s="2"/>
      <c r="B23" s="3"/>
      <c r="C23" s="3"/>
      <c r="D23" s="3"/>
      <c r="E23" s="2"/>
      <c r="F23" s="2"/>
      <c r="G23" s="2"/>
      <c r="H23" s="2"/>
    </row>
    <row r="24" spans="1:8" x14ac:dyDescent="0.25">
      <c r="A24" s="12" t="s">
        <v>34</v>
      </c>
      <c r="B24" s="13">
        <f ca="1">RANDBETWEEN(C24*(1-K5),C24*(1+K5))</f>
        <v>3002406900</v>
      </c>
      <c r="C24" s="13">
        <f ca="1">RANDBETWEEN(100000,10000000000)</f>
        <v>3594704720</v>
      </c>
      <c r="D24" s="14">
        <f ca="1">(B24/C24-1)</f>
        <v>-0.16476953355990809</v>
      </c>
      <c r="E24" s="2"/>
      <c r="F24" s="2"/>
      <c r="G24" s="2"/>
      <c r="H24" s="2"/>
    </row>
    <row r="25" spans="1:8" x14ac:dyDescent="0.25">
      <c r="A25" s="12" t="s">
        <v>35</v>
      </c>
      <c r="B25" s="13">
        <f ca="1">RANDBETWEEN(C25*(1-K6),B26)</f>
        <v>10798959</v>
      </c>
      <c r="C25" s="13">
        <f ca="1">RANDBETWEEN(C4*(1-K6),C4*(1+K6))</f>
        <v>7693862</v>
      </c>
      <c r="D25" s="14">
        <f ca="1">(B25/C25-1)</f>
        <v>0.40358106241052938</v>
      </c>
      <c r="E25" s="2"/>
      <c r="F25" s="2"/>
      <c r="G25" s="2"/>
      <c r="H25" s="2"/>
    </row>
    <row r="26" spans="1:8" x14ac:dyDescent="0.25">
      <c r="A26" s="12" t="s">
        <v>36</v>
      </c>
      <c r="B26" s="13">
        <f ca="1">RANDBETWEEN(C26*(1-K6),C26*(1+K6))</f>
        <v>15209113</v>
      </c>
      <c r="C26" s="13">
        <f ca="1">RANDBETWEEN(C25/0.9,C25/0.3)</f>
        <v>12772627</v>
      </c>
      <c r="D26" s="14">
        <f ca="1">(B26/C26-1)</f>
        <v>0.19075840858736415</v>
      </c>
      <c r="E26" s="2"/>
      <c r="F26" s="2"/>
      <c r="G26" s="2"/>
      <c r="H26" s="2"/>
    </row>
    <row r="27" spans="1:8" x14ac:dyDescent="0.25">
      <c r="A27" s="2"/>
      <c r="B27" s="3"/>
      <c r="C27" s="3"/>
      <c r="D27" s="3"/>
      <c r="E27" s="2"/>
      <c r="F27" s="2"/>
      <c r="G27" s="2"/>
      <c r="H27" s="2"/>
    </row>
    <row r="28" spans="1:8" x14ac:dyDescent="0.25">
      <c r="A28" s="4" t="s">
        <v>37</v>
      </c>
      <c r="B28" s="3"/>
      <c r="C28" s="3"/>
      <c r="D28" s="3"/>
      <c r="E28" s="2"/>
      <c r="F28" s="2"/>
      <c r="G28" s="2"/>
      <c r="H28" s="2"/>
    </row>
    <row r="29" spans="1:8" x14ac:dyDescent="0.25">
      <c r="A29" s="12" t="s">
        <v>38</v>
      </c>
      <c r="B29" s="16">
        <f ca="1">(B5+B7+B8+B10+B11)/-B4</f>
        <v>1.0825469419738603</v>
      </c>
      <c r="C29" s="16">
        <f ca="1">(C5+C7+C8+C10+C11)/-C4</f>
        <v>1.1072195155151454</v>
      </c>
      <c r="D29" s="14">
        <f ca="1">(B29/C29-1)</f>
        <v>-2.2283362238070703E-2</v>
      </c>
      <c r="E29" s="2"/>
      <c r="F29" s="2"/>
      <c r="G29" s="2"/>
      <c r="H29" s="2"/>
    </row>
    <row r="30" spans="1:8" x14ac:dyDescent="0.25">
      <c r="A30" s="12" t="s">
        <v>39</v>
      </c>
      <c r="B30" s="16">
        <f ca="1">B22/B25</f>
        <v>-6.8024704973877581E-2</v>
      </c>
      <c r="C30" s="16">
        <f ca="1">C22/C25</f>
        <v>-0.12106260808940945</v>
      </c>
      <c r="D30" s="14">
        <f ca="1">(B30/C30-1)</f>
        <v>-0.43810309353620824</v>
      </c>
      <c r="E30" s="2"/>
      <c r="F30" s="2"/>
      <c r="G30" s="2"/>
      <c r="H30" s="2"/>
    </row>
    <row r="31" spans="1:8" x14ac:dyDescent="0.25">
      <c r="A31" s="12" t="s">
        <v>40</v>
      </c>
      <c r="B31" s="16">
        <f ca="1">B25/B26</f>
        <v>0.71003213665386011</v>
      </c>
      <c r="C31" s="16">
        <f ca="1">C25/C26</f>
        <v>0.60237114886389465</v>
      </c>
      <c r="D31" s="14">
        <f ca="1">(B31/C31-1)</f>
        <v>0.17872865922117964</v>
      </c>
      <c r="E31" s="2"/>
      <c r="F31" s="2"/>
      <c r="G31" s="2"/>
      <c r="H31" s="2"/>
    </row>
    <row r="32" spans="1:8" x14ac:dyDescent="0.25">
      <c r="A32" s="12" t="s">
        <v>41</v>
      </c>
      <c r="B32" s="16">
        <f ca="1">B25/B24</f>
        <v>3.5967673135843111E-3</v>
      </c>
      <c r="C32" s="16">
        <f ca="1">C25/C24</f>
        <v>2.1403321271962501E-3</v>
      </c>
      <c r="D32" s="14">
        <f ca="1">(B32/C32-1)</f>
        <v>0.68047158096717131</v>
      </c>
      <c r="E32" s="2"/>
      <c r="F32" s="2"/>
      <c r="G32" s="2"/>
      <c r="H32" s="2"/>
    </row>
    <row r="33" spans="1:8" x14ac:dyDescent="0.25">
      <c r="A33" s="12" t="s">
        <v>42</v>
      </c>
      <c r="B33" s="16">
        <f ca="1">B36/B25</f>
        <v>1.2580286673928479E-2</v>
      </c>
      <c r="C33" s="16">
        <f ca="1">C36/C25</f>
        <v>1.6163663970058209E-2</v>
      </c>
      <c r="D33" s="14">
        <f ca="1">(B33/C33-1)</f>
        <v>-0.22169337984058735</v>
      </c>
      <c r="E33" s="2"/>
      <c r="F33" s="2"/>
      <c r="G33" s="2"/>
      <c r="H33" s="2"/>
    </row>
    <row r="34" spans="1:8" x14ac:dyDescent="0.25">
      <c r="A34" s="12" t="s">
        <v>43</v>
      </c>
      <c r="B34" s="15">
        <f ca="1">(B24/C24)/(B12/C12)</f>
        <v>1.0587506956266852</v>
      </c>
      <c r="C34" s="13"/>
      <c r="D34" s="14"/>
      <c r="E34" s="2"/>
      <c r="F34" s="2"/>
      <c r="G34" s="2"/>
      <c r="H34" s="2"/>
    </row>
    <row r="35" spans="1:8" x14ac:dyDescent="0.25">
      <c r="A35" s="12" t="s">
        <v>44</v>
      </c>
      <c r="B35" s="13">
        <f ca="1">B5+B7+B8+B10+B11</f>
        <v>-9648480</v>
      </c>
      <c r="C35" s="13">
        <f ca="1">C5+C7+C8+C10+C11</f>
        <v>-9630757</v>
      </c>
      <c r="D35" s="14"/>
      <c r="E35" s="2"/>
      <c r="F35" s="2"/>
      <c r="G35" s="2"/>
      <c r="H35" s="2"/>
    </row>
    <row r="36" spans="1:8" x14ac:dyDescent="0.25">
      <c r="A36" s="12" t="s">
        <v>45</v>
      </c>
      <c r="B36" s="13">
        <f ca="1">RANDBETWEEN(0,C36*(1+K7))</f>
        <v>135854</v>
      </c>
      <c r="C36" s="13">
        <f ca="1">RANDBETWEEN(0,0.05*C25)</f>
        <v>124361</v>
      </c>
      <c r="D36" s="14">
        <f ca="1">B36/C36-1</f>
        <v>9.2416432804496518E-2</v>
      </c>
      <c r="E36" s="2"/>
      <c r="F36" s="2"/>
      <c r="G36" s="2"/>
      <c r="H36" s="2"/>
    </row>
    <row r="37" spans="1:8" x14ac:dyDescent="0.25">
      <c r="A37" s="2"/>
      <c r="B37" s="2"/>
      <c r="C37" s="2"/>
      <c r="D37" s="2"/>
      <c r="E37" s="2"/>
      <c r="F37" s="2"/>
      <c r="G37" s="2"/>
      <c r="H37" s="2"/>
    </row>
    <row r="38" spans="1:8" x14ac:dyDescent="0.25">
      <c r="C38" s="2"/>
      <c r="D38" s="2"/>
      <c r="E38" s="2"/>
      <c r="F38" s="2"/>
      <c r="G38" s="2"/>
      <c r="H38" s="2"/>
    </row>
    <row r="39" spans="1:8" x14ac:dyDescent="0.25">
      <c r="C39" s="2"/>
      <c r="D39" s="2"/>
      <c r="E39" s="2"/>
      <c r="F39" s="2"/>
      <c r="G39" s="2"/>
      <c r="H39" s="2"/>
    </row>
    <row r="40" spans="1:8" x14ac:dyDescent="0.25">
      <c r="C40" s="2"/>
      <c r="D40" s="2"/>
      <c r="E40" s="2"/>
      <c r="F40" s="2"/>
      <c r="G40" s="2"/>
      <c r="H40" s="2"/>
    </row>
    <row r="41" spans="1:8" x14ac:dyDescent="0.25">
      <c r="C41" s="2"/>
      <c r="D41" s="2"/>
      <c r="E41" s="2"/>
      <c r="F41" s="2"/>
      <c r="G41" s="2"/>
      <c r="H41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imulation">
                <anchor moveWithCells="1" sizeWithCells="1">
                  <from>
                    <xdr:col>5</xdr:col>
                    <xdr:colOff>9525</xdr:colOff>
                    <xdr:row>15</xdr:row>
                    <xdr:rowOff>0</xdr:rowOff>
                  </from>
                  <to>
                    <xdr:col>6</xdr:col>
                    <xdr:colOff>428625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B6D52-DFFD-4A78-9DC4-E697FC86B614}">
  <sheetPr codeName="Feuil2"/>
  <dimension ref="A1:J1001"/>
  <sheetViews>
    <sheetView workbookViewId="0">
      <selection activeCell="F14" sqref="F14"/>
    </sheetView>
  </sheetViews>
  <sheetFormatPr baseColWidth="10" defaultRowHeight="15" x14ac:dyDescent="0.25"/>
  <cols>
    <col min="1" max="1" width="12.85546875" style="18" bestFit="1" customWidth="1"/>
    <col min="2" max="2" width="21.5703125" bestFit="1" customWidth="1"/>
    <col min="4" max="4" width="25.42578125" bestFit="1" customWidth="1"/>
    <col min="5" max="5" width="19" bestFit="1" customWidth="1"/>
    <col min="6" max="6" width="21.7109375" bestFit="1" customWidth="1"/>
    <col min="7" max="7" width="21" bestFit="1" customWidth="1"/>
    <col min="10" max="10" width="12.85546875" bestFit="1" customWidth="1"/>
  </cols>
  <sheetData>
    <row r="1" spans="1:10" x14ac:dyDescent="0.25">
      <c r="A1" s="18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22</v>
      </c>
    </row>
    <row r="2" spans="1:10" x14ac:dyDescent="0.25">
      <c r="A2" s="18">
        <v>1449600</v>
      </c>
      <c r="B2" s="20">
        <v>3.2220269661006494E-3</v>
      </c>
      <c r="C2" s="20">
        <v>0.83745146249190316</v>
      </c>
      <c r="D2" s="20">
        <v>8.2638333697422392E-2</v>
      </c>
      <c r="E2" s="20">
        <v>0.86072557590338794</v>
      </c>
      <c r="F2" s="20">
        <v>1.6313773922132981E-2</v>
      </c>
      <c r="G2" s="20">
        <v>1.3086583135396324</v>
      </c>
      <c r="H2">
        <v>0.6</v>
      </c>
    </row>
    <row r="3" spans="1:10" x14ac:dyDescent="0.25">
      <c r="A3" s="18">
        <v>665800</v>
      </c>
      <c r="B3" s="20">
        <v>8.0083146940516925E-4</v>
      </c>
      <c r="C3" s="20">
        <v>0.80715476217656634</v>
      </c>
      <c r="D3" s="20">
        <v>0.26000804470670014</v>
      </c>
      <c r="E3" s="20">
        <v>0.79846623538241679</v>
      </c>
      <c r="F3" s="20">
        <v>1.1098571088261368E-3</v>
      </c>
      <c r="G3" s="20">
        <v>1.1081139814217438</v>
      </c>
      <c r="H3">
        <v>0.5</v>
      </c>
    </row>
    <row r="4" spans="1:10" x14ac:dyDescent="0.25">
      <c r="A4" s="18">
        <v>-657611</v>
      </c>
      <c r="B4" s="20">
        <v>4.3988737437254303E-4</v>
      </c>
      <c r="C4" s="20">
        <v>1.2059637298472974</v>
      </c>
      <c r="D4" s="20">
        <v>-0.16261773576889874</v>
      </c>
      <c r="E4" s="20">
        <v>0.9169611788165305</v>
      </c>
      <c r="F4" s="20">
        <v>1.8416348348268146E-2</v>
      </c>
      <c r="G4" s="20">
        <v>1.4034197036159233</v>
      </c>
      <c r="H4">
        <v>0.35</v>
      </c>
      <c r="J4" s="19"/>
    </row>
    <row r="5" spans="1:10" x14ac:dyDescent="0.25">
      <c r="A5" s="18">
        <v>1199331.25</v>
      </c>
      <c r="B5" s="20">
        <v>9.1246720924735902E-2</v>
      </c>
      <c r="C5" s="20">
        <v>0.80771519343449028</v>
      </c>
      <c r="D5" s="20">
        <v>0.15400690669527997</v>
      </c>
      <c r="E5" s="20">
        <v>0.70623343245520243</v>
      </c>
      <c r="F5" s="20">
        <v>1.037314080638807E-2</v>
      </c>
      <c r="G5" s="20">
        <v>0.44160663392622285</v>
      </c>
      <c r="H5">
        <v>0.8</v>
      </c>
    </row>
    <row r="6" spans="1:10" x14ac:dyDescent="0.25">
      <c r="A6" s="18">
        <v>1663343.75</v>
      </c>
      <c r="B6" s="20">
        <v>2.5068315964465581E-3</v>
      </c>
      <c r="C6" s="20">
        <v>0.83312381714584849</v>
      </c>
      <c r="D6" s="20">
        <v>0.10429877675231194</v>
      </c>
      <c r="E6" s="20">
        <v>0.85625622043005467</v>
      </c>
      <c r="F6" s="20">
        <v>3.2844503286143345E-3</v>
      </c>
      <c r="G6" s="20">
        <v>0.94323604569441655</v>
      </c>
      <c r="H6">
        <v>0.7</v>
      </c>
    </row>
    <row r="7" spans="1:10" x14ac:dyDescent="0.25">
      <c r="A7" s="18">
        <v>1306261.25</v>
      </c>
      <c r="B7" s="20">
        <v>7.0276948318778315E-3</v>
      </c>
      <c r="C7" s="20">
        <v>0.87025495821332921</v>
      </c>
      <c r="D7" s="20">
        <v>0.17745204692654343</v>
      </c>
      <c r="E7" s="20">
        <v>0.65088134424571553</v>
      </c>
      <c r="F7" s="20">
        <v>4.9602734986259729E-2</v>
      </c>
      <c r="G7" s="20">
        <v>0.87670035309791894</v>
      </c>
      <c r="H7">
        <v>0.72499999999999998</v>
      </c>
    </row>
    <row r="8" spans="1:10" x14ac:dyDescent="0.25">
      <c r="A8" s="18">
        <v>-54103</v>
      </c>
      <c r="B8" s="20">
        <v>7.7972760859919069E-2</v>
      </c>
      <c r="C8" s="20">
        <v>1.0672367978075956</v>
      </c>
      <c r="D8" s="20">
        <v>-5.7613444805440284E-2</v>
      </c>
      <c r="E8" s="20">
        <v>0.55236103758602439</v>
      </c>
      <c r="F8" s="20">
        <v>5.9420553761225211E-3</v>
      </c>
      <c r="G8" s="20">
        <v>0.80108905374093564</v>
      </c>
      <c r="H8">
        <v>0.57499999999999996</v>
      </c>
    </row>
    <row r="9" spans="1:10" x14ac:dyDescent="0.25">
      <c r="A9" s="18">
        <v>-886142</v>
      </c>
      <c r="B9" s="20">
        <v>1.4979793044278436E-3</v>
      </c>
      <c r="C9" s="20">
        <v>1.121731914115029</v>
      </c>
      <c r="D9" s="20">
        <v>-0.14726963308149718</v>
      </c>
      <c r="E9" s="20">
        <v>0.81224990689108556</v>
      </c>
      <c r="F9" s="20">
        <v>5.2513818857463847E-2</v>
      </c>
      <c r="G9" s="20">
        <v>0.62236125729505432</v>
      </c>
      <c r="H9">
        <v>0.5</v>
      </c>
    </row>
    <row r="10" spans="1:10" x14ac:dyDescent="0.25">
      <c r="A10" s="18">
        <v>-71229</v>
      </c>
      <c r="B10" s="20">
        <v>1.7831464406118352E-2</v>
      </c>
      <c r="C10" s="20">
        <v>1.0197220638814257</v>
      </c>
      <c r="D10" s="20">
        <v>-2.3246964030505093E-2</v>
      </c>
      <c r="E10" s="20">
        <v>0.66282006242250191</v>
      </c>
      <c r="F10" s="20">
        <v>6.7370471339384008E-2</v>
      </c>
      <c r="G10" s="20">
        <v>1.7088437543182449</v>
      </c>
      <c r="H10">
        <v>0.375</v>
      </c>
    </row>
    <row r="11" spans="1:10" x14ac:dyDescent="0.25">
      <c r="A11" s="18">
        <v>-44810</v>
      </c>
      <c r="B11" s="20">
        <v>1.1813335527530611E-3</v>
      </c>
      <c r="C11" s="20">
        <v>1.0157574849614126</v>
      </c>
      <c r="D11" s="20">
        <v>-1.0968935709699442E-2</v>
      </c>
      <c r="E11" s="20">
        <v>0.63927188372848887</v>
      </c>
      <c r="F11" s="20">
        <v>4.2962684811634656E-3</v>
      </c>
      <c r="G11" s="20">
        <v>2.9556998065077917</v>
      </c>
      <c r="H11">
        <v>0.32500000000000001</v>
      </c>
    </row>
    <row r="12" spans="1:10" x14ac:dyDescent="0.25">
      <c r="A12" s="18">
        <v>-255886</v>
      </c>
      <c r="B12" s="20">
        <v>4.3633953406112279E-2</v>
      </c>
      <c r="C12" s="20">
        <v>1.1838347768920439</v>
      </c>
      <c r="D12" s="20">
        <v>-0.10142437901419148</v>
      </c>
      <c r="E12" s="20">
        <v>0.67141166492488236</v>
      </c>
      <c r="F12" s="20">
        <v>2.3805711151029521E-3</v>
      </c>
      <c r="G12" s="20">
        <v>1.3700787128785969</v>
      </c>
      <c r="H12">
        <v>0.42499999999999999</v>
      </c>
    </row>
    <row r="13" spans="1:10" x14ac:dyDescent="0.25">
      <c r="A13" s="18">
        <v>638197.5</v>
      </c>
      <c r="B13" s="20">
        <v>4.1605119494061548E-4</v>
      </c>
      <c r="C13" s="20">
        <v>0.88641158094316064</v>
      </c>
      <c r="D13" s="20">
        <v>0.18358754833143809</v>
      </c>
      <c r="E13" s="20">
        <v>0.83229690978745674</v>
      </c>
      <c r="F13" s="20">
        <v>1.6899210846608868E-2</v>
      </c>
      <c r="G13" s="20">
        <v>0.71755389565674266</v>
      </c>
      <c r="H13">
        <v>0.65</v>
      </c>
    </row>
    <row r="14" spans="1:10" x14ac:dyDescent="0.25">
      <c r="A14" s="18">
        <v>-358689</v>
      </c>
      <c r="B14" s="20">
        <v>4.1392707775551559E-4</v>
      </c>
      <c r="C14" s="20">
        <v>1.1294121938569865</v>
      </c>
      <c r="D14" s="20">
        <v>-8.713517857307701E-2</v>
      </c>
      <c r="E14" s="20">
        <v>0.86496587175579964</v>
      </c>
      <c r="F14" s="20">
        <v>7.5295168234111491E-3</v>
      </c>
      <c r="G14" s="20">
        <v>0.94595921759421142</v>
      </c>
      <c r="H14">
        <v>0.5</v>
      </c>
    </row>
    <row r="15" spans="1:10" x14ac:dyDescent="0.25">
      <c r="A15" s="18">
        <v>170186.25</v>
      </c>
      <c r="B15" s="20">
        <v>2.9471042131448502E-3</v>
      </c>
      <c r="C15" s="20">
        <v>0.97182436045235809</v>
      </c>
      <c r="D15" s="20">
        <v>3.0445813165675815E-2</v>
      </c>
      <c r="E15" s="20">
        <v>0.74205170937283327</v>
      </c>
      <c r="F15" s="20">
        <v>4.5661317884263648E-2</v>
      </c>
      <c r="G15" s="20">
        <v>1.4424440074742293</v>
      </c>
      <c r="H15">
        <v>0.55000000000000004</v>
      </c>
    </row>
    <row r="16" spans="1:10" x14ac:dyDescent="0.25">
      <c r="A16" s="18">
        <v>-237664</v>
      </c>
      <c r="B16" s="20">
        <v>1.5074484106143535E-3</v>
      </c>
      <c r="C16" s="20">
        <v>1.0387640133034488</v>
      </c>
      <c r="D16" s="20">
        <v>-1.6575274968415377E-2</v>
      </c>
      <c r="E16" s="20">
        <v>0.91777776710976267</v>
      </c>
      <c r="F16" s="20">
        <v>1.6095377015601042E-2</v>
      </c>
      <c r="G16" s="20">
        <v>2.9442709858459151</v>
      </c>
      <c r="H16">
        <v>0.4</v>
      </c>
    </row>
    <row r="17" spans="1:8" x14ac:dyDescent="0.25">
      <c r="A17" s="18">
        <v>589460</v>
      </c>
      <c r="B17" s="20">
        <v>3.206643461838213E-3</v>
      </c>
      <c r="C17" s="20">
        <v>0.94685750826742354</v>
      </c>
      <c r="D17" s="20">
        <v>4.4545392303394125E-2</v>
      </c>
      <c r="E17" s="20">
        <v>0.85976480424274193</v>
      </c>
      <c r="F17" s="20">
        <v>2.5183117034845399E-2</v>
      </c>
      <c r="G17" s="20">
        <v>0.23442493652617252</v>
      </c>
      <c r="H17">
        <v>0.75</v>
      </c>
    </row>
    <row r="18" spans="1:8" x14ac:dyDescent="0.25">
      <c r="A18" s="18">
        <v>-70854</v>
      </c>
      <c r="B18" s="20">
        <v>4.9489566281712689E-4</v>
      </c>
      <c r="C18" s="20">
        <v>1.120307807170855</v>
      </c>
      <c r="D18" s="20">
        <v>-0.1172931882743231</v>
      </c>
      <c r="E18" s="20">
        <v>0.48696249409511344</v>
      </c>
      <c r="F18" s="20">
        <v>2.3561604831180184E-2</v>
      </c>
      <c r="G18" s="20">
        <v>0.56140759600894796</v>
      </c>
      <c r="H18">
        <v>0.35</v>
      </c>
    </row>
    <row r="19" spans="1:8" x14ac:dyDescent="0.25">
      <c r="A19" s="18">
        <v>75532.5</v>
      </c>
      <c r="B19" s="20">
        <v>4.4011552686963411E-4</v>
      </c>
      <c r="C19" s="20">
        <v>0.98779526169463483</v>
      </c>
      <c r="D19" s="20">
        <v>1.5314917651333467E-2</v>
      </c>
      <c r="E19" s="20">
        <v>0.78356730938188823</v>
      </c>
      <c r="F19" s="20">
        <v>1.16923184229543E-2</v>
      </c>
      <c r="G19" s="20">
        <v>-3.6621409033261338</v>
      </c>
      <c r="H19">
        <v>0.65</v>
      </c>
    </row>
    <row r="20" spans="1:8" x14ac:dyDescent="0.25">
      <c r="A20" s="18">
        <v>1352245</v>
      </c>
      <c r="B20" s="20">
        <v>8.6850074069608446E-4</v>
      </c>
      <c r="C20" s="20">
        <v>0.82419989465478649</v>
      </c>
      <c r="D20" s="20">
        <v>0.23522561128878366</v>
      </c>
      <c r="E20" s="20">
        <v>0.63306526478725023</v>
      </c>
      <c r="F20" s="20">
        <v>1.5948085789606894E-2</v>
      </c>
      <c r="G20" s="20">
        <v>0.54946345424079523</v>
      </c>
      <c r="H20">
        <v>0.57499999999999996</v>
      </c>
    </row>
    <row r="21" spans="1:8" x14ac:dyDescent="0.25">
      <c r="A21" s="18">
        <v>507658.75</v>
      </c>
      <c r="B21" s="20">
        <v>2.1689411446596967E-3</v>
      </c>
      <c r="C21" s="20">
        <v>0.93624270141157906</v>
      </c>
      <c r="D21" s="20">
        <v>6.1928673158503075E-2</v>
      </c>
      <c r="E21" s="20">
        <v>0.81802882144614164</v>
      </c>
      <c r="F21" s="20">
        <v>1.6091296405295535E-2</v>
      </c>
      <c r="G21" s="20">
        <v>0.39370545964880294</v>
      </c>
      <c r="H21">
        <v>0.7</v>
      </c>
    </row>
    <row r="22" spans="1:8" x14ac:dyDescent="0.25">
      <c r="A22" s="18">
        <v>-1160794</v>
      </c>
      <c r="B22" s="20">
        <v>1.6175464299518568E-3</v>
      </c>
      <c r="C22" s="20">
        <v>1.2086320614552071</v>
      </c>
      <c r="D22" s="20">
        <v>-0.21333909199928322</v>
      </c>
      <c r="E22" s="20">
        <v>0.33023894622150191</v>
      </c>
      <c r="F22" s="20">
        <v>1.6256162614924439E-2</v>
      </c>
      <c r="G22" s="20">
        <v>1.3654458460399885</v>
      </c>
      <c r="H22">
        <v>0.25</v>
      </c>
    </row>
    <row r="23" spans="1:8" x14ac:dyDescent="0.25">
      <c r="A23" s="18">
        <v>-47927</v>
      </c>
      <c r="B23" s="20">
        <v>4.0024303545456257E-4</v>
      </c>
      <c r="C23" s="20">
        <v>1.0178251069932946</v>
      </c>
      <c r="D23" s="20">
        <v>-1.7197904544758079E-2</v>
      </c>
      <c r="E23" s="20">
        <v>0.45288029372614258</v>
      </c>
      <c r="F23" s="20">
        <v>7.1695314291373628E-4</v>
      </c>
      <c r="G23" s="20">
        <v>0.17933825598359995</v>
      </c>
      <c r="H23">
        <v>0.35</v>
      </c>
    </row>
    <row r="24" spans="1:8" x14ac:dyDescent="0.25">
      <c r="A24" s="18">
        <v>662490</v>
      </c>
      <c r="B24" s="20">
        <v>2.4791943939789719E-3</v>
      </c>
      <c r="C24" s="20">
        <v>0.80229853869584689</v>
      </c>
      <c r="D24" s="20">
        <v>0.24777226000884139</v>
      </c>
      <c r="E24" s="20">
        <v>0.64847791942708188</v>
      </c>
      <c r="F24" s="20">
        <v>9.9316100839782987E-3</v>
      </c>
      <c r="G24" s="20">
        <v>1.1048589519529564</v>
      </c>
      <c r="H24">
        <v>0.47499999999999998</v>
      </c>
    </row>
    <row r="25" spans="1:8" x14ac:dyDescent="0.25">
      <c r="A25" s="18">
        <v>9687.6</v>
      </c>
      <c r="B25" s="20">
        <v>5.1416317100569776E-4</v>
      </c>
      <c r="C25" s="20">
        <v>0.99549983614593573</v>
      </c>
      <c r="D25" s="20">
        <v>3.4695247256820612E-3</v>
      </c>
      <c r="E25" s="20">
        <v>0.47924692167477367</v>
      </c>
      <c r="F25" s="20">
        <v>3.2268485257850628E-4</v>
      </c>
      <c r="G25" s="20">
        <v>2.4955289512474539</v>
      </c>
      <c r="H25">
        <v>0.4</v>
      </c>
    </row>
    <row r="26" spans="1:8" x14ac:dyDescent="0.25">
      <c r="A26" s="18">
        <v>165478.75</v>
      </c>
      <c r="B26" s="20">
        <v>1.6890867650702439E-4</v>
      </c>
      <c r="C26" s="20">
        <v>0.81538386471678914</v>
      </c>
      <c r="D26" s="20">
        <v>0.17420264421988776</v>
      </c>
      <c r="E26" s="20">
        <v>0.61749863651462589</v>
      </c>
      <c r="F26" s="20">
        <v>4.716181661422371E-4</v>
      </c>
      <c r="G26" s="20">
        <v>0.68443117516560614</v>
      </c>
      <c r="H26">
        <v>0.625</v>
      </c>
    </row>
    <row r="27" spans="1:8" x14ac:dyDescent="0.25">
      <c r="A27" s="18">
        <v>448643.75</v>
      </c>
      <c r="B27" s="20">
        <v>5.9903609077402637E-4</v>
      </c>
      <c r="C27" s="20">
        <v>0.8397522863315392</v>
      </c>
      <c r="D27" s="20">
        <v>0.20570986366516672</v>
      </c>
      <c r="E27" s="20">
        <v>0.44594805423709682</v>
      </c>
      <c r="F27" s="20">
        <v>3.8394665820553758E-2</v>
      </c>
      <c r="G27" s="20">
        <v>0.62998487515575052</v>
      </c>
      <c r="H27">
        <v>0.5</v>
      </c>
    </row>
    <row r="28" spans="1:8" x14ac:dyDescent="0.25">
      <c r="A28" s="18">
        <v>377313.75</v>
      </c>
      <c r="B28" s="20">
        <v>6.6290827894773603E-4</v>
      </c>
      <c r="C28" s="20">
        <v>0.89910148916867072</v>
      </c>
      <c r="D28" s="20">
        <v>0.11952151007849866</v>
      </c>
      <c r="E28" s="20">
        <v>0.56880235559171954</v>
      </c>
      <c r="F28" s="20">
        <v>3.402105060425377E-4</v>
      </c>
      <c r="G28" s="20">
        <v>0.38521452707416304</v>
      </c>
      <c r="H28">
        <v>0.625</v>
      </c>
    </row>
    <row r="29" spans="1:8" x14ac:dyDescent="0.25">
      <c r="A29" s="18">
        <v>323731.25</v>
      </c>
      <c r="B29" s="20">
        <v>3.8128746802257744E-2</v>
      </c>
      <c r="C29" s="20">
        <v>0.86029070117622763</v>
      </c>
      <c r="D29" s="20">
        <v>0.1283773119664102</v>
      </c>
      <c r="E29" s="20">
        <v>0.89034059172984836</v>
      </c>
      <c r="F29" s="20">
        <v>1.5532670795335083E-2</v>
      </c>
      <c r="G29" s="20">
        <v>0.36052861036663181</v>
      </c>
      <c r="H29">
        <v>0.8</v>
      </c>
    </row>
    <row r="30" spans="1:8" x14ac:dyDescent="0.25">
      <c r="A30" s="18">
        <v>136638.75</v>
      </c>
      <c r="B30" s="20">
        <v>2.0665438082070075E-3</v>
      </c>
      <c r="C30" s="20">
        <v>0.98363446247718045</v>
      </c>
      <c r="D30" s="20">
        <v>1.6800530726538615E-2</v>
      </c>
      <c r="E30" s="20">
        <v>0.4183827660706424</v>
      </c>
      <c r="F30" s="20">
        <v>1.9528828346531822E-2</v>
      </c>
      <c r="G30" s="20">
        <v>1.6008478850064669</v>
      </c>
      <c r="H30">
        <v>0.4</v>
      </c>
    </row>
    <row r="31" spans="1:8" x14ac:dyDescent="0.25">
      <c r="A31" s="18">
        <v>-196021</v>
      </c>
      <c r="B31" s="20">
        <v>9.4662178145593813E-5</v>
      </c>
      <c r="C31" s="20">
        <v>1.1730961513027378</v>
      </c>
      <c r="D31" s="20">
        <v>-0.2040476212782214</v>
      </c>
      <c r="E31" s="20">
        <v>0.84270014789707204</v>
      </c>
      <c r="F31" s="20">
        <v>2.5304399149337489E-2</v>
      </c>
      <c r="G31" s="20">
        <v>1.5565566614539506</v>
      </c>
      <c r="H31">
        <v>0.35</v>
      </c>
    </row>
    <row r="32" spans="1:8" x14ac:dyDescent="0.25">
      <c r="A32" s="18">
        <v>1552685</v>
      </c>
      <c r="B32" s="20">
        <v>1.3549467411377136E-2</v>
      </c>
      <c r="C32" s="20">
        <v>0.83072986676645222</v>
      </c>
      <c r="D32" s="20">
        <v>0.1305422672401827</v>
      </c>
      <c r="E32" s="20">
        <v>0.63325627566555409</v>
      </c>
      <c r="F32" s="20">
        <v>3.6308706228465722E-2</v>
      </c>
      <c r="G32" s="20">
        <v>0.567624426118711</v>
      </c>
      <c r="H32">
        <v>0.72499999999999998</v>
      </c>
    </row>
    <row r="33" spans="1:8" x14ac:dyDescent="0.25">
      <c r="A33" s="18">
        <v>-182493</v>
      </c>
      <c r="B33" s="20">
        <v>3.8819852092288076E-3</v>
      </c>
      <c r="C33" s="20">
        <v>1.0179534783993973</v>
      </c>
      <c r="D33" s="20">
        <v>-7.9194454318213953E-3</v>
      </c>
      <c r="E33" s="20">
        <v>0.85355344848252368</v>
      </c>
      <c r="F33" s="20">
        <v>7.2904654595001605E-3</v>
      </c>
      <c r="G33" s="20">
        <v>1.7385951233400441</v>
      </c>
      <c r="H33">
        <v>0.45</v>
      </c>
    </row>
    <row r="34" spans="1:8" x14ac:dyDescent="0.25">
      <c r="A34" s="18">
        <v>-448871</v>
      </c>
      <c r="B34" s="20">
        <v>1.2171191091831714E-3</v>
      </c>
      <c r="C34" s="20">
        <v>1.055778114772431</v>
      </c>
      <c r="D34" s="20">
        <v>-4.0642171498770786E-2</v>
      </c>
      <c r="E34" s="20">
        <v>0.80204397883372569</v>
      </c>
      <c r="F34" s="20">
        <v>8.0949152444156642E-3</v>
      </c>
      <c r="G34" s="20">
        <v>2.0703633329200102</v>
      </c>
      <c r="H34">
        <v>0.4</v>
      </c>
    </row>
    <row r="35" spans="1:8" x14ac:dyDescent="0.25">
      <c r="A35" s="18">
        <v>921887.5</v>
      </c>
      <c r="B35" s="20">
        <v>3.2968682288939638E-3</v>
      </c>
      <c r="C35" s="20">
        <v>0.89694403398285372</v>
      </c>
      <c r="D35" s="20">
        <v>5.696263147569447E-2</v>
      </c>
      <c r="E35" s="20">
        <v>0.57162380602913387</v>
      </c>
      <c r="F35" s="20">
        <v>1.7446409510583707E-2</v>
      </c>
      <c r="G35" s="20">
        <v>0.43098874567107681</v>
      </c>
      <c r="H35">
        <v>0.67500000000000004</v>
      </c>
    </row>
    <row r="36" spans="1:8" x14ac:dyDescent="0.25">
      <c r="A36" s="18">
        <v>-159081</v>
      </c>
      <c r="B36" s="20">
        <v>1.00217744532591E-3</v>
      </c>
      <c r="C36" s="20">
        <v>1.0405111241129963</v>
      </c>
      <c r="D36" s="20">
        <v>-2.718961974253431E-2</v>
      </c>
      <c r="E36" s="20">
        <v>0.92470821142549353</v>
      </c>
      <c r="F36" s="20">
        <v>4.8848541882912058E-2</v>
      </c>
      <c r="G36" s="20">
        <v>0.87104974783617006</v>
      </c>
      <c r="H36">
        <v>0.55000000000000004</v>
      </c>
    </row>
    <row r="37" spans="1:8" x14ac:dyDescent="0.25">
      <c r="A37" s="18">
        <v>641052.5</v>
      </c>
      <c r="B37" s="20">
        <v>8.9326816802922705E-4</v>
      </c>
      <c r="C37" s="20">
        <v>0.86193749424221022</v>
      </c>
      <c r="D37" s="20">
        <v>7.0699303321492268E-2</v>
      </c>
      <c r="E37" s="20">
        <v>0.90101379715292551</v>
      </c>
      <c r="F37" s="20">
        <v>8.2343054334747569E-3</v>
      </c>
      <c r="G37" s="20">
        <v>1.2192186276719943</v>
      </c>
      <c r="H37">
        <v>0.5</v>
      </c>
    </row>
    <row r="38" spans="1:8" x14ac:dyDescent="0.25">
      <c r="A38" s="18">
        <v>-1146632</v>
      </c>
      <c r="B38" s="20">
        <v>3.8296658523875871E-3</v>
      </c>
      <c r="C38" s="20">
        <v>1.1165368461279686</v>
      </c>
      <c r="D38" s="20">
        <v>-9.3287278398048457E-2</v>
      </c>
      <c r="E38" s="20">
        <v>0.38083400529357497</v>
      </c>
      <c r="F38" s="20">
        <v>7.9616590711169954E-3</v>
      </c>
      <c r="G38" s="20">
        <v>0.71116514158908029</v>
      </c>
      <c r="H38">
        <v>0.45</v>
      </c>
    </row>
    <row r="39" spans="1:8" x14ac:dyDescent="0.25">
      <c r="A39" s="18">
        <v>-334858</v>
      </c>
      <c r="B39" s="20">
        <v>3.1832697390503937E-3</v>
      </c>
      <c r="C39" s="20">
        <v>1.1487696812370061</v>
      </c>
      <c r="D39" s="20">
        <v>-4.4225655471025985E-2</v>
      </c>
      <c r="E39" s="20">
        <v>0.95116646240321356</v>
      </c>
      <c r="F39" s="20">
        <v>2.6851734209170135E-2</v>
      </c>
      <c r="G39" s="20">
        <v>0.76402932899873421</v>
      </c>
      <c r="H39">
        <v>0.6</v>
      </c>
    </row>
    <row r="40" spans="1:8" x14ac:dyDescent="0.25">
      <c r="A40" s="18">
        <v>-689284</v>
      </c>
      <c r="B40" s="20">
        <v>1.0475528571357005E-3</v>
      </c>
      <c r="C40" s="20">
        <v>1.0740113977287329</v>
      </c>
      <c r="D40" s="20">
        <v>-5.2830947620498059E-2</v>
      </c>
      <c r="E40" s="20">
        <v>0.74785797903918483</v>
      </c>
      <c r="F40" s="20">
        <v>2.5784906139921793E-2</v>
      </c>
      <c r="G40" s="20">
        <v>1.4156656083317889</v>
      </c>
      <c r="H40">
        <v>0.4</v>
      </c>
    </row>
    <row r="41" spans="1:8" x14ac:dyDescent="0.25">
      <c r="A41" s="18">
        <v>509528.75</v>
      </c>
      <c r="B41" s="20">
        <v>4.3645617359651681E-2</v>
      </c>
      <c r="C41" s="20">
        <v>0.85786250679503395</v>
      </c>
      <c r="D41" s="20">
        <v>0.11327185578849881</v>
      </c>
      <c r="E41" s="20">
        <v>0.84308442348298362</v>
      </c>
      <c r="F41" s="20">
        <v>5.2019860026561249E-5</v>
      </c>
      <c r="G41" s="20">
        <v>0.47175000754692009</v>
      </c>
      <c r="H41">
        <v>0.85</v>
      </c>
    </row>
    <row r="42" spans="1:8" x14ac:dyDescent="0.25">
      <c r="A42" s="18">
        <v>-37317</v>
      </c>
      <c r="B42" s="20">
        <v>4.8849259052341607E-4</v>
      </c>
      <c r="C42" s="20">
        <v>1.0149027621058848</v>
      </c>
      <c r="D42" s="20">
        <v>-1.1202531759569298E-2</v>
      </c>
      <c r="E42" s="20">
        <v>0.58790810332190324</v>
      </c>
      <c r="F42" s="20">
        <v>5.8944103518274024E-3</v>
      </c>
      <c r="G42" s="20">
        <v>0.66684265835980183</v>
      </c>
      <c r="H42">
        <v>0.42499999999999999</v>
      </c>
    </row>
    <row r="43" spans="1:8" x14ac:dyDescent="0.25">
      <c r="A43" s="18">
        <v>-107456</v>
      </c>
      <c r="B43" s="20">
        <v>1.0951537812007826E-4</v>
      </c>
      <c r="C43" s="20">
        <v>1.2294788585534016</v>
      </c>
      <c r="D43" s="20">
        <v>-0.20329376152863832</v>
      </c>
      <c r="E43" s="20">
        <v>0.54272826776682326</v>
      </c>
      <c r="F43" s="20">
        <v>1.5608002648630753E-2</v>
      </c>
      <c r="G43" s="20">
        <v>0.66483001719927748</v>
      </c>
      <c r="H43">
        <v>0.42499999999999999</v>
      </c>
    </row>
    <row r="44" spans="1:8" x14ac:dyDescent="0.25">
      <c r="A44" s="18">
        <v>-338388</v>
      </c>
      <c r="B44" s="20">
        <v>4.3146999584851864E-4</v>
      </c>
      <c r="C44" s="20">
        <v>1.0879959069854634</v>
      </c>
      <c r="D44" s="20">
        <v>-0.12272734196662308</v>
      </c>
      <c r="E44" s="20">
        <v>0.45354271180719707</v>
      </c>
      <c r="F44" s="20">
        <v>1.7563253608507655E-2</v>
      </c>
      <c r="G44" s="20">
        <v>0.85605226339829532</v>
      </c>
      <c r="H44">
        <v>0.35</v>
      </c>
    </row>
    <row r="45" spans="1:8" x14ac:dyDescent="0.25">
      <c r="A45" s="18">
        <v>-526317</v>
      </c>
      <c r="B45" s="20">
        <v>1.1499806704868755E-3</v>
      </c>
      <c r="C45" s="20">
        <v>1.1921274960756798</v>
      </c>
      <c r="D45" s="20">
        <v>-0.12630552085845623</v>
      </c>
      <c r="E45" s="20">
        <v>0.86280855078087304</v>
      </c>
      <c r="F45" s="20">
        <v>2.2257419279748215E-2</v>
      </c>
      <c r="G45" s="20">
        <v>0.79343431037431134</v>
      </c>
      <c r="H45">
        <v>0.55000000000000004</v>
      </c>
    </row>
    <row r="46" spans="1:8" x14ac:dyDescent="0.25">
      <c r="A46" s="18">
        <v>-249958</v>
      </c>
      <c r="B46" s="20">
        <v>3.1941443125202548E-4</v>
      </c>
      <c r="C46" s="20">
        <v>1.2291432872650514</v>
      </c>
      <c r="D46" s="20">
        <v>-0.22345310942549493</v>
      </c>
      <c r="E46" s="20">
        <v>0.63467013595353006</v>
      </c>
      <c r="F46" s="20">
        <v>9.9015300170299872E-3</v>
      </c>
      <c r="G46" s="20">
        <v>1.5913699541540876</v>
      </c>
      <c r="H46">
        <v>0.27500000000000002</v>
      </c>
    </row>
    <row r="47" spans="1:8" x14ac:dyDescent="0.25">
      <c r="A47" s="18">
        <v>-421497</v>
      </c>
      <c r="B47" s="20">
        <v>5.2815219607618424E-3</v>
      </c>
      <c r="C47" s="20">
        <v>1.1231348659703968</v>
      </c>
      <c r="D47" s="20">
        <v>-4.6338246541674538E-2</v>
      </c>
      <c r="E47" s="20">
        <v>0.91774677712339769</v>
      </c>
      <c r="F47" s="20">
        <v>2.807139284965534E-3</v>
      </c>
      <c r="G47" s="20">
        <v>0.54051262127589406</v>
      </c>
      <c r="H47">
        <v>0.65</v>
      </c>
    </row>
    <row r="48" spans="1:8" x14ac:dyDescent="0.25">
      <c r="A48" s="18">
        <v>-1177707</v>
      </c>
      <c r="B48" s="20">
        <v>7.1349901791794733E-3</v>
      </c>
      <c r="C48" s="20">
        <v>1.1625640581743659</v>
      </c>
      <c r="D48" s="20">
        <v>-7.4654074838220882E-2</v>
      </c>
      <c r="E48" s="20">
        <v>0.98083197539489542</v>
      </c>
      <c r="F48" s="20">
        <v>1.1831114051249777E-2</v>
      </c>
      <c r="G48" s="20">
        <v>1.6618711075398376</v>
      </c>
      <c r="H48">
        <v>0.5</v>
      </c>
    </row>
    <row r="49" spans="1:8" x14ac:dyDescent="0.25">
      <c r="A49" s="18">
        <v>932293.75</v>
      </c>
      <c r="B49" s="20">
        <v>3.39099333479108E-3</v>
      </c>
      <c r="C49" s="20">
        <v>0.88492722751401498</v>
      </c>
      <c r="D49" s="20">
        <v>0.11340141072154701</v>
      </c>
      <c r="E49" s="20">
        <v>0.52298513345588848</v>
      </c>
      <c r="F49" s="20">
        <v>4.1334683828349275E-2</v>
      </c>
      <c r="G49" s="20">
        <v>1.197848096799591</v>
      </c>
      <c r="H49">
        <v>0.52500000000000002</v>
      </c>
    </row>
    <row r="50" spans="1:8" x14ac:dyDescent="0.25">
      <c r="A50" s="18">
        <v>301538.75</v>
      </c>
      <c r="B50" s="20">
        <v>4.2064300224491317E-3</v>
      </c>
      <c r="C50" s="20">
        <v>0.96897353852975709</v>
      </c>
      <c r="D50" s="20">
        <v>1.8055508734360116E-2</v>
      </c>
      <c r="E50" s="20">
        <v>0.70701383728782796</v>
      </c>
      <c r="F50" s="20">
        <v>5.8959977069157361E-3</v>
      </c>
      <c r="G50" s="20">
        <v>8.9298028229833598E-2</v>
      </c>
      <c r="H50">
        <v>0.75</v>
      </c>
    </row>
    <row r="51" spans="1:8" x14ac:dyDescent="0.25">
      <c r="A51" s="18">
        <v>24950.400000000001</v>
      </c>
      <c r="B51" s="20">
        <v>4.9208296550918781E-3</v>
      </c>
      <c r="C51" s="20">
        <v>0.99728725223464154</v>
      </c>
      <c r="D51" s="20">
        <v>9.8838188594026146E-4</v>
      </c>
      <c r="E51" s="20">
        <v>0.71632211039693661</v>
      </c>
      <c r="F51" s="20">
        <v>4.3112922820615247E-2</v>
      </c>
      <c r="G51" s="20">
        <v>1.1677748195390938</v>
      </c>
      <c r="H51">
        <v>0.6</v>
      </c>
    </row>
    <row r="52" spans="1:8" x14ac:dyDescent="0.25">
      <c r="A52" s="18">
        <v>180802.5</v>
      </c>
      <c r="B52" s="20">
        <v>1.2926498839217343E-3</v>
      </c>
      <c r="C52" s="20">
        <v>0.97388214821593777</v>
      </c>
      <c r="D52" s="20">
        <v>2.1045668935718475E-2</v>
      </c>
      <c r="E52" s="20">
        <v>0.88288625297259971</v>
      </c>
      <c r="F52" s="20">
        <v>3.9800557795636342E-2</v>
      </c>
      <c r="G52" s="20">
        <v>-5.1313700051910875E-2</v>
      </c>
      <c r="H52">
        <v>0.7</v>
      </c>
    </row>
    <row r="53" spans="1:8" x14ac:dyDescent="0.25">
      <c r="A53" s="18">
        <v>148790</v>
      </c>
      <c r="B53" s="20">
        <v>3.1734297102021971E-4</v>
      </c>
      <c r="C53" s="20">
        <v>0.94228042178800087</v>
      </c>
      <c r="D53" s="20">
        <v>6.5989431224235007E-2</v>
      </c>
      <c r="E53" s="20">
        <v>0.31193399617171819</v>
      </c>
      <c r="F53" s="20">
        <v>3.1718745495630349E-2</v>
      </c>
      <c r="G53" s="20">
        <v>0.57078496525238243</v>
      </c>
      <c r="H53">
        <v>0.5</v>
      </c>
    </row>
    <row r="54" spans="1:8" x14ac:dyDescent="0.25">
      <c r="A54" s="18">
        <v>-22687</v>
      </c>
      <c r="B54" s="20">
        <v>5.4813755814896779E-5</v>
      </c>
      <c r="C54" s="20">
        <v>1.0177567360446842</v>
      </c>
      <c r="D54" s="20">
        <v>-2.9000865411287675E-2</v>
      </c>
      <c r="E54" s="20">
        <v>0.68005973984652979</v>
      </c>
      <c r="F54" s="20">
        <v>5.2540819417937409E-2</v>
      </c>
      <c r="G54" s="20">
        <v>2.8192489736987354</v>
      </c>
      <c r="H54">
        <v>0.22500000000000001</v>
      </c>
    </row>
    <row r="55" spans="1:8" x14ac:dyDescent="0.25">
      <c r="A55" s="18">
        <v>-619859</v>
      </c>
      <c r="B55" s="20">
        <v>1.0407553664254624E-3</v>
      </c>
      <c r="C55" s="20">
        <v>1.2818883411102933</v>
      </c>
      <c r="D55" s="20">
        <v>-0.15289074877024444</v>
      </c>
      <c r="E55" s="20">
        <v>0.8661118694976917</v>
      </c>
      <c r="F55" s="20">
        <v>1.4049416157469882E-3</v>
      </c>
      <c r="G55" s="20">
        <v>1.3404310684526779</v>
      </c>
      <c r="H55">
        <v>0.4</v>
      </c>
    </row>
    <row r="56" spans="1:8" x14ac:dyDescent="0.25">
      <c r="A56" s="18">
        <v>1670127.5</v>
      </c>
      <c r="B56" s="20">
        <v>1.4352172392795507E-3</v>
      </c>
      <c r="C56" s="20">
        <v>0.84757969585181581</v>
      </c>
      <c r="D56" s="20">
        <v>0.10980409289479744</v>
      </c>
      <c r="E56" s="20">
        <v>0.61686273975416117</v>
      </c>
      <c r="F56" s="20">
        <v>4.4348262525619551E-3</v>
      </c>
      <c r="G56" s="20">
        <v>0.96390047208209373</v>
      </c>
      <c r="H56">
        <v>0.625</v>
      </c>
    </row>
    <row r="57" spans="1:8" x14ac:dyDescent="0.25">
      <c r="A57" s="18">
        <v>189126.25</v>
      </c>
      <c r="B57" s="20">
        <v>2.6632496199049723E-3</v>
      </c>
      <c r="C57" s="20">
        <v>0.98102955648804968</v>
      </c>
      <c r="D57" s="20">
        <v>1.9462216588007075E-2</v>
      </c>
      <c r="E57" s="20">
        <v>0.85968286889019507</v>
      </c>
      <c r="F57" s="20">
        <v>1.1491507532046714E-2</v>
      </c>
      <c r="G57" s="20">
        <v>-2.1407600469946884</v>
      </c>
      <c r="H57">
        <v>0.7</v>
      </c>
    </row>
    <row r="58" spans="1:8" x14ac:dyDescent="0.25">
      <c r="A58" s="18">
        <v>379190</v>
      </c>
      <c r="B58" s="20">
        <v>5.5284912142174723E-4</v>
      </c>
      <c r="C58" s="20">
        <v>0.86686754053682435</v>
      </c>
      <c r="D58" s="20">
        <v>5.6374919754310672E-2</v>
      </c>
      <c r="E58" s="20">
        <v>0.92067264687544703</v>
      </c>
      <c r="F58" s="20">
        <v>2.4990715436222853E-2</v>
      </c>
      <c r="G58" s="20">
        <v>1.2757799786347912</v>
      </c>
      <c r="H58">
        <v>0.5</v>
      </c>
    </row>
    <row r="59" spans="1:8" x14ac:dyDescent="0.25">
      <c r="A59" s="18">
        <v>360583.75</v>
      </c>
      <c r="B59" s="20">
        <v>4.9657492997466082E-4</v>
      </c>
      <c r="C59" s="20">
        <v>0.89183027389135372</v>
      </c>
      <c r="D59" s="20">
        <v>0.14411843584082468</v>
      </c>
      <c r="E59" s="20">
        <v>0.36876167949842437</v>
      </c>
      <c r="F59" s="20">
        <v>2.049084011325358E-2</v>
      </c>
      <c r="G59" s="20">
        <v>0.65997648929007657</v>
      </c>
      <c r="H59">
        <v>0.5</v>
      </c>
    </row>
    <row r="60" spans="1:8" x14ac:dyDescent="0.25">
      <c r="A60" s="18">
        <v>-1302118</v>
      </c>
      <c r="B60" s="20">
        <v>1.4123051992222322E-3</v>
      </c>
      <c r="C60" s="20">
        <v>1.2184013264793865</v>
      </c>
      <c r="D60" s="20">
        <v>-0.23841049174756998</v>
      </c>
      <c r="E60" s="20">
        <v>0.81169314268814474</v>
      </c>
      <c r="F60" s="20">
        <v>2.0970898246395239E-2</v>
      </c>
      <c r="G60" s="20">
        <v>1.2232412028980038</v>
      </c>
      <c r="H60">
        <v>0.4</v>
      </c>
    </row>
    <row r="61" spans="1:8" x14ac:dyDescent="0.25">
      <c r="A61" s="18">
        <v>1062301.25</v>
      </c>
      <c r="B61" s="20">
        <v>9.3127607640582891E-4</v>
      </c>
      <c r="C61" s="20">
        <v>0.85423138685552991</v>
      </c>
      <c r="D61" s="20">
        <v>0.18322956431327717</v>
      </c>
      <c r="E61" s="20">
        <v>0.35827099828584413</v>
      </c>
      <c r="F61" s="20">
        <v>2.0629040859989525E-2</v>
      </c>
      <c r="G61" s="20">
        <v>0.54678745272876939</v>
      </c>
      <c r="H61">
        <v>0.5</v>
      </c>
    </row>
    <row r="62" spans="1:8" x14ac:dyDescent="0.25">
      <c r="A62" s="18">
        <v>-37140</v>
      </c>
      <c r="B62" s="20">
        <v>6.5517920841959764E-4</v>
      </c>
      <c r="C62" s="20">
        <v>1.0115122431870931</v>
      </c>
      <c r="D62" s="20">
        <v>-8.1922338329110753E-3</v>
      </c>
      <c r="E62" s="20">
        <v>0.60464745940841791</v>
      </c>
      <c r="F62" s="20">
        <v>7.79519503648566E-4</v>
      </c>
      <c r="G62" s="20">
        <v>3.4134025891983466</v>
      </c>
      <c r="H62">
        <v>0.27500000000000002</v>
      </c>
    </row>
    <row r="63" spans="1:8" x14ac:dyDescent="0.25">
      <c r="A63" s="18">
        <v>-1151082</v>
      </c>
      <c r="B63" s="20">
        <v>7.6261830881096957E-3</v>
      </c>
      <c r="C63" s="20">
        <v>1.230661301689423</v>
      </c>
      <c r="D63" s="20">
        <v>-0.115751779896223</v>
      </c>
      <c r="E63" s="20">
        <v>0.89025545203579104</v>
      </c>
      <c r="F63" s="20">
        <v>5.9889988335143397E-3</v>
      </c>
      <c r="G63" s="20">
        <v>0.95111496339465584</v>
      </c>
      <c r="H63">
        <v>0.65</v>
      </c>
    </row>
    <row r="64" spans="1:8" x14ac:dyDescent="0.25">
      <c r="A64" s="18">
        <v>-939570</v>
      </c>
      <c r="B64" s="20">
        <v>4.3036303515835012E-3</v>
      </c>
      <c r="C64" s="20">
        <v>1.114895076920891</v>
      </c>
      <c r="D64" s="20">
        <v>-8.9341391431054032E-2</v>
      </c>
      <c r="E64" s="20">
        <v>0.88694292951382459</v>
      </c>
      <c r="F64" s="20">
        <v>1.47980920877095E-2</v>
      </c>
      <c r="G64" s="20">
        <v>1.664976845502157</v>
      </c>
      <c r="H64">
        <v>0.45</v>
      </c>
    </row>
    <row r="65" spans="1:8" x14ac:dyDescent="0.25">
      <c r="A65" s="18">
        <v>-1124668</v>
      </c>
      <c r="B65" s="20">
        <v>6.4977059345020325E-3</v>
      </c>
      <c r="C65" s="20">
        <v>1.1323501681126709</v>
      </c>
      <c r="D65" s="20">
        <v>-9.2546773369074894E-2</v>
      </c>
      <c r="E65" s="20">
        <v>0.45636957122599564</v>
      </c>
      <c r="F65" s="20">
        <v>9.9002438031313578E-3</v>
      </c>
      <c r="G65" s="20">
        <v>1.5698285933354315</v>
      </c>
      <c r="H65">
        <v>0.35</v>
      </c>
    </row>
    <row r="66" spans="1:8" x14ac:dyDescent="0.25">
      <c r="A66" s="18">
        <v>988258.75</v>
      </c>
      <c r="B66" s="20">
        <v>3.6885934809377657E-3</v>
      </c>
      <c r="C66" s="20">
        <v>0.91298641907390587</v>
      </c>
      <c r="D66" s="20">
        <v>4.9981742221921019E-2</v>
      </c>
      <c r="E66" s="20">
        <v>0.93483332030777022</v>
      </c>
      <c r="F66" s="20">
        <v>7.7352288379834615E-3</v>
      </c>
      <c r="G66" s="20">
        <v>1.3883573892438381</v>
      </c>
      <c r="H66">
        <v>0.6</v>
      </c>
    </row>
    <row r="67" spans="1:8" x14ac:dyDescent="0.25">
      <c r="A67" s="18">
        <v>-1884866</v>
      </c>
      <c r="B67" s="20">
        <v>2.3197218715882277E-3</v>
      </c>
      <c r="C67" s="20">
        <v>1.18870188886791</v>
      </c>
      <c r="D67" s="20">
        <v>-9.0281988176577496E-2</v>
      </c>
      <c r="E67" s="20">
        <v>0.51662095756822635</v>
      </c>
      <c r="F67" s="20">
        <v>1.7378961565494636E-3</v>
      </c>
      <c r="G67" s="20">
        <v>1.8287659126822784</v>
      </c>
      <c r="H67">
        <v>0.32500000000000001</v>
      </c>
    </row>
    <row r="68" spans="1:8" x14ac:dyDescent="0.25">
      <c r="A68" s="18">
        <v>-483422</v>
      </c>
      <c r="B68" s="20">
        <v>9.3274264037483314E-3</v>
      </c>
      <c r="C68" s="20">
        <v>1.0674655058999325</v>
      </c>
      <c r="D68" s="20">
        <v>-6.3666605514035718E-2</v>
      </c>
      <c r="E68" s="20">
        <v>0.88814381312565671</v>
      </c>
      <c r="F68" s="20">
        <v>8.7554061142709558E-3</v>
      </c>
      <c r="G68" s="20">
        <v>1.5117987901544565</v>
      </c>
      <c r="H68">
        <v>0.5</v>
      </c>
    </row>
    <row r="69" spans="1:8" x14ac:dyDescent="0.25">
      <c r="A69" s="18">
        <v>-1053659</v>
      </c>
      <c r="B69" s="20">
        <v>7.045470681380574E-4</v>
      </c>
      <c r="C69" s="20">
        <v>1.2500928286341786</v>
      </c>
      <c r="D69" s="20">
        <v>-0.32070930741504389</v>
      </c>
      <c r="E69" s="20">
        <v>0.39751006448554516</v>
      </c>
      <c r="F69" s="20">
        <v>0.11078035503722224</v>
      </c>
      <c r="G69" s="20">
        <v>1.2640653741250973</v>
      </c>
      <c r="H69">
        <v>0.15</v>
      </c>
    </row>
    <row r="70" spans="1:8" x14ac:dyDescent="0.25">
      <c r="A70" s="18">
        <v>1083203.75</v>
      </c>
      <c r="B70" s="20">
        <v>1.1963188850583795E-3</v>
      </c>
      <c r="C70" s="20">
        <v>0.86207016029508432</v>
      </c>
      <c r="D70" s="20">
        <v>0.12546034009919579</v>
      </c>
      <c r="E70" s="20">
        <v>0.53572888296270593</v>
      </c>
      <c r="F70" s="20">
        <v>2.2379744618671149E-2</v>
      </c>
      <c r="G70" s="20">
        <v>1.1976635553792183</v>
      </c>
      <c r="H70">
        <v>0.47499999999999998</v>
      </c>
    </row>
    <row r="71" spans="1:8" x14ac:dyDescent="0.25">
      <c r="A71" s="18">
        <v>-2078615</v>
      </c>
      <c r="B71" s="20">
        <v>8.218120199419884E-3</v>
      </c>
      <c r="C71" s="20">
        <v>1.2199211437918944</v>
      </c>
      <c r="D71" s="20">
        <v>-0.18475377288817946</v>
      </c>
      <c r="E71" s="20">
        <v>0.63305562284265149</v>
      </c>
      <c r="F71" s="20">
        <v>9.0716772092408929E-2</v>
      </c>
      <c r="G71" s="20">
        <v>1.022309933506393</v>
      </c>
      <c r="H71">
        <v>0.45</v>
      </c>
    </row>
    <row r="72" spans="1:8" x14ac:dyDescent="0.25">
      <c r="A72" s="18">
        <v>-125674</v>
      </c>
      <c r="B72" s="20">
        <v>1.2334822472163496E-2</v>
      </c>
      <c r="C72" s="20">
        <v>1.0166880286740396</v>
      </c>
      <c r="D72" s="20">
        <v>-8.4002518056925258E-3</v>
      </c>
      <c r="E72" s="20">
        <v>0.76118543663979754</v>
      </c>
      <c r="F72" s="20">
        <v>5.0060351284715691E-3</v>
      </c>
      <c r="G72" s="20">
        <v>1.0154776945483495</v>
      </c>
      <c r="H72">
        <v>0.57499999999999996</v>
      </c>
    </row>
    <row r="73" spans="1:8" x14ac:dyDescent="0.25">
      <c r="A73" s="18">
        <v>2173745</v>
      </c>
      <c r="B73" s="20">
        <v>2.8880855150488012E-3</v>
      </c>
      <c r="C73" s="20">
        <v>0.76492874326948379</v>
      </c>
      <c r="D73" s="20">
        <v>0.38424200257758701</v>
      </c>
      <c r="E73" s="20">
        <v>0.43601071508643136</v>
      </c>
      <c r="F73" s="20">
        <v>3.7476828320013207E-2</v>
      </c>
      <c r="G73" s="20">
        <v>0.41984484632282759</v>
      </c>
      <c r="H73">
        <v>0.55000000000000004</v>
      </c>
    </row>
    <row r="74" spans="1:8" x14ac:dyDescent="0.25">
      <c r="A74" s="18">
        <v>-1103537</v>
      </c>
      <c r="B74" s="20">
        <v>2.2800971518085245E-3</v>
      </c>
      <c r="C74" s="20">
        <v>1.1129493271342588</v>
      </c>
      <c r="D74" s="20">
        <v>-6.6080950192442714E-2</v>
      </c>
      <c r="E74" s="20">
        <v>0.93156456032990997</v>
      </c>
      <c r="F74" s="20">
        <v>1.0699126185831844E-2</v>
      </c>
      <c r="G74" s="20">
        <v>1.6005827989961194</v>
      </c>
      <c r="H74">
        <v>0.4</v>
      </c>
    </row>
    <row r="75" spans="1:8" x14ac:dyDescent="0.25">
      <c r="A75" s="18">
        <v>1180161.25</v>
      </c>
      <c r="B75" s="20">
        <v>3.9936275616777855E-3</v>
      </c>
      <c r="C75" s="20">
        <v>0.80742226126977246</v>
      </c>
      <c r="D75" s="20">
        <v>0.10545503797113644</v>
      </c>
      <c r="E75" s="20">
        <v>0.54305055133950808</v>
      </c>
      <c r="F75" s="20">
        <v>9.8256369418214351E-4</v>
      </c>
      <c r="G75" s="20">
        <v>1.0919122881572607</v>
      </c>
      <c r="H75">
        <v>0.6</v>
      </c>
    </row>
    <row r="76" spans="1:8" x14ac:dyDescent="0.25">
      <c r="A76" s="18">
        <v>131431.25</v>
      </c>
      <c r="B76" s="20">
        <v>4.2814319627205858E-4</v>
      </c>
      <c r="C76" s="20">
        <v>0.92622110179675887</v>
      </c>
      <c r="D76" s="20">
        <v>8.6286555562485434E-2</v>
      </c>
      <c r="E76" s="20">
        <v>0.7282693457937669</v>
      </c>
      <c r="F76" s="20">
        <v>3.7427249958147182E-2</v>
      </c>
      <c r="G76" s="20">
        <v>0.61025891333100646</v>
      </c>
      <c r="H76">
        <v>0.65</v>
      </c>
    </row>
    <row r="77" spans="1:8" x14ac:dyDescent="0.25">
      <c r="A77" s="18">
        <v>-1087119</v>
      </c>
      <c r="B77" s="20">
        <v>2.8829069978549577E-3</v>
      </c>
      <c r="C77" s="20">
        <v>1.1312595107810959</v>
      </c>
      <c r="D77" s="20">
        <v>-0.11078247994134369</v>
      </c>
      <c r="E77" s="20">
        <v>0.78552570236348651</v>
      </c>
      <c r="F77" s="20">
        <v>1.8555613697819089E-2</v>
      </c>
      <c r="G77" s="20">
        <v>1.0189194116409463</v>
      </c>
      <c r="H77">
        <v>0.47499999999999998</v>
      </c>
    </row>
    <row r="78" spans="1:8" x14ac:dyDescent="0.25">
      <c r="A78" s="18">
        <v>-98839</v>
      </c>
      <c r="B78" s="20">
        <v>1.955538335531654E-4</v>
      </c>
      <c r="C78" s="20">
        <v>1.0989918639714711</v>
      </c>
      <c r="D78" s="20">
        <v>-3.8984837805420149E-2</v>
      </c>
      <c r="E78" s="20">
        <v>0.99351572535548494</v>
      </c>
      <c r="F78" s="20">
        <v>1.0467716291322709E-2</v>
      </c>
      <c r="G78" s="20">
        <v>2.3792015567527089</v>
      </c>
      <c r="H78">
        <v>0.35</v>
      </c>
    </row>
    <row r="79" spans="1:8" x14ac:dyDescent="0.25">
      <c r="A79" s="18">
        <v>835478.75</v>
      </c>
      <c r="B79" s="20">
        <v>5.6943967079273758E-4</v>
      </c>
      <c r="C79" s="20">
        <v>0.78485720605322828</v>
      </c>
      <c r="D79" s="20">
        <v>0.27805738611421643</v>
      </c>
      <c r="E79" s="20">
        <v>0.38718960841351302</v>
      </c>
      <c r="F79" s="20">
        <v>4.3431971056002612E-3</v>
      </c>
      <c r="G79" s="20">
        <v>0.88473171895252711</v>
      </c>
      <c r="H79">
        <v>0.5</v>
      </c>
    </row>
    <row r="80" spans="1:8" x14ac:dyDescent="0.25">
      <c r="A80" s="18">
        <v>-627463</v>
      </c>
      <c r="B80" s="20">
        <v>1.1156928998286662E-3</v>
      </c>
      <c r="C80" s="20">
        <v>1.169636122722159</v>
      </c>
      <c r="D80" s="20">
        <v>-7.6226184138819292E-2</v>
      </c>
      <c r="E80" s="20">
        <v>0.84991471523561724</v>
      </c>
      <c r="F80" s="20">
        <v>5.2624072567233025E-3</v>
      </c>
      <c r="G80" s="20">
        <v>1.9314336578228486</v>
      </c>
      <c r="H80">
        <v>0.4</v>
      </c>
    </row>
    <row r="81" spans="1:8" x14ac:dyDescent="0.25">
      <c r="A81" s="18">
        <v>-330674</v>
      </c>
      <c r="B81" s="20">
        <v>2.3221400830787933E-3</v>
      </c>
      <c r="C81" s="20">
        <v>1.0416661831519942</v>
      </c>
      <c r="D81" s="20">
        <v>-2.6265251445814427E-2</v>
      </c>
      <c r="E81" s="20">
        <v>0.8245199154351982</v>
      </c>
      <c r="F81" s="20">
        <v>4.0379545647703415E-3</v>
      </c>
      <c r="G81" s="20">
        <v>2.0055919198669718</v>
      </c>
      <c r="H81">
        <v>0.4</v>
      </c>
    </row>
    <row r="82" spans="1:8" x14ac:dyDescent="0.25">
      <c r="A82" s="18">
        <v>-1181695</v>
      </c>
      <c r="B82" s="20">
        <v>1.1191102534714756E-2</v>
      </c>
      <c r="C82" s="20">
        <v>1.1184356204764414</v>
      </c>
      <c r="D82" s="20">
        <v>-0.11848383762120906</v>
      </c>
      <c r="E82" s="20">
        <v>0.6285132822866546</v>
      </c>
      <c r="F82" s="20">
        <v>7.5104251579440253E-3</v>
      </c>
      <c r="G82" s="20">
        <v>0.7099911704394285</v>
      </c>
      <c r="H82">
        <v>0.57499999999999996</v>
      </c>
    </row>
    <row r="83" spans="1:8" x14ac:dyDescent="0.25">
      <c r="A83" s="18">
        <v>221021.25</v>
      </c>
      <c r="B83" s="20">
        <v>6.4107413426365634E-4</v>
      </c>
      <c r="C83" s="20">
        <v>0.9496406611390199</v>
      </c>
      <c r="D83" s="20">
        <v>3.2460272666510699E-2</v>
      </c>
      <c r="E83" s="20">
        <v>0.79636068138014948</v>
      </c>
      <c r="F83" s="20">
        <v>1.7375297346429574E-2</v>
      </c>
      <c r="G83" s="20">
        <v>1.4206621606109309</v>
      </c>
      <c r="H83">
        <v>0.5</v>
      </c>
    </row>
    <row r="84" spans="1:8" x14ac:dyDescent="0.25">
      <c r="A84" s="18">
        <v>-612477</v>
      </c>
      <c r="B84" s="20">
        <v>5.466019787041047E-4</v>
      </c>
      <c r="C84" s="20">
        <v>1.2304625895711649</v>
      </c>
      <c r="D84" s="20">
        <v>-0.16097016749410631</v>
      </c>
      <c r="E84" s="20">
        <v>0.56644556158190473</v>
      </c>
      <c r="F84" s="20">
        <v>4.4991865773434852E-3</v>
      </c>
      <c r="G84" s="20">
        <v>1.2039684479649906</v>
      </c>
      <c r="H84">
        <v>0.27500000000000002</v>
      </c>
    </row>
    <row r="85" spans="1:8" x14ac:dyDescent="0.25">
      <c r="A85" s="18">
        <v>97578.75</v>
      </c>
      <c r="B85" s="20">
        <v>4.1078194755816672E-2</v>
      </c>
      <c r="C85" s="20">
        <v>0.98144575284807978</v>
      </c>
      <c r="D85" s="20">
        <v>3.2570361125751311E-2</v>
      </c>
      <c r="E85" s="20">
        <v>0.25515329363328043</v>
      </c>
      <c r="F85" s="20">
        <v>1.0982206902214567E-2</v>
      </c>
      <c r="G85" s="20">
        <v>-0.69891094830228406</v>
      </c>
      <c r="H85">
        <v>0.65</v>
      </c>
    </row>
    <row r="86" spans="1:8" x14ac:dyDescent="0.25">
      <c r="A86" s="18">
        <v>502282.5</v>
      </c>
      <c r="B86" s="20">
        <v>2.1363481926335387E-2</v>
      </c>
      <c r="C86" s="20">
        <v>0.91848205500809832</v>
      </c>
      <c r="D86" s="20">
        <v>0.11449057100942124</v>
      </c>
      <c r="E86" s="20">
        <v>0.57347614590118445</v>
      </c>
      <c r="F86" s="20">
        <v>4.4019887360876456E-3</v>
      </c>
      <c r="G86" s="20">
        <v>0.72334679611938357</v>
      </c>
      <c r="H86">
        <v>0.72499999999999998</v>
      </c>
    </row>
    <row r="87" spans="1:8" x14ac:dyDescent="0.25">
      <c r="A87" s="18">
        <v>-949322</v>
      </c>
      <c r="B87" s="20">
        <v>6.3386154459907904E-4</v>
      </c>
      <c r="C87" s="20">
        <v>1.2470636293043258</v>
      </c>
      <c r="D87" s="20">
        <v>-0.17501368386141331</v>
      </c>
      <c r="E87" s="20">
        <v>0.44499574797772573</v>
      </c>
      <c r="F87" s="20">
        <v>3.7579229511493983E-3</v>
      </c>
      <c r="G87" s="20">
        <v>1.4025476368171439</v>
      </c>
      <c r="H87">
        <v>0.2</v>
      </c>
    </row>
    <row r="88" spans="1:8" x14ac:dyDescent="0.25">
      <c r="A88" s="18">
        <v>-112684</v>
      </c>
      <c r="B88" s="20">
        <v>2.5350885571417324E-4</v>
      </c>
      <c r="C88" s="20">
        <v>1.0537812257593757</v>
      </c>
      <c r="D88" s="20">
        <v>-3.9323072520715596E-2</v>
      </c>
      <c r="E88" s="20">
        <v>0.51306274788407802</v>
      </c>
      <c r="F88" s="20">
        <v>3.3650254135703057E-2</v>
      </c>
      <c r="G88" s="20">
        <v>1.6024806230168471</v>
      </c>
      <c r="H88">
        <v>0.27500000000000002</v>
      </c>
    </row>
    <row r="89" spans="1:8" x14ac:dyDescent="0.25">
      <c r="A89" s="18">
        <v>83085</v>
      </c>
      <c r="B89" s="20">
        <v>5.5630132344895473E-4</v>
      </c>
      <c r="C89" s="20">
        <v>0.98151832342691425</v>
      </c>
      <c r="D89" s="20">
        <v>9.9227403268359691E-3</v>
      </c>
      <c r="E89" s="20">
        <v>0.92007173165241574</v>
      </c>
      <c r="F89" s="20">
        <v>7.3453477891523081E-3</v>
      </c>
      <c r="G89" s="20">
        <v>-0.74096544664692909</v>
      </c>
      <c r="H89">
        <v>0.65</v>
      </c>
    </row>
    <row r="90" spans="1:8" x14ac:dyDescent="0.25">
      <c r="A90" s="18">
        <v>933802.5</v>
      </c>
      <c r="B90" s="20">
        <v>6.6811639068876721E-4</v>
      </c>
      <c r="C90" s="20">
        <v>0.90881036668127058</v>
      </c>
      <c r="D90" s="20">
        <v>0.13481711165001237</v>
      </c>
      <c r="E90" s="20">
        <v>0.54066446933195955</v>
      </c>
      <c r="F90" s="20">
        <v>8.9694430283728768E-2</v>
      </c>
      <c r="G90" s="20">
        <v>0.72697417420778232</v>
      </c>
      <c r="H90">
        <v>0.52500000000000002</v>
      </c>
    </row>
    <row r="91" spans="1:8" x14ac:dyDescent="0.25">
      <c r="A91" s="18">
        <v>1079627.5</v>
      </c>
      <c r="B91" s="20">
        <v>2.0537364435970619E-3</v>
      </c>
      <c r="C91" s="20">
        <v>0.8122207232461599</v>
      </c>
      <c r="D91" s="20">
        <v>0.11342537265999152</v>
      </c>
      <c r="E91" s="20">
        <v>0.74682979279981754</v>
      </c>
      <c r="F91" s="20">
        <v>3.1803681187847319E-3</v>
      </c>
      <c r="G91" s="20">
        <v>0.51245189985596418</v>
      </c>
      <c r="H91">
        <v>0.7</v>
      </c>
    </row>
    <row r="92" spans="1:8" x14ac:dyDescent="0.25">
      <c r="A92" s="18">
        <v>7262.25</v>
      </c>
      <c r="B92" s="20">
        <v>6.9289579958808434E-4</v>
      </c>
      <c r="C92" s="20">
        <v>0.97903354969944145</v>
      </c>
      <c r="D92" s="20">
        <v>1.1452467273596049E-2</v>
      </c>
      <c r="E92" s="20">
        <v>0.65748267438629382</v>
      </c>
      <c r="F92" s="20">
        <v>5.070010297719205E-3</v>
      </c>
      <c r="G92" s="20">
        <v>0.19640730705165599</v>
      </c>
      <c r="H92">
        <v>0.57499999999999996</v>
      </c>
    </row>
    <row r="93" spans="1:8" x14ac:dyDescent="0.25">
      <c r="A93" s="18">
        <v>765576.25</v>
      </c>
      <c r="B93" s="20">
        <v>5.8141488174557913E-3</v>
      </c>
      <c r="C93" s="20">
        <v>0.8209457214503969</v>
      </c>
      <c r="D93" s="20">
        <v>8.7569227703755179E-2</v>
      </c>
      <c r="E93" s="20">
        <v>0.81261856945723288</v>
      </c>
      <c r="F93" s="20">
        <v>1.3041196560353381E-2</v>
      </c>
      <c r="G93" s="20">
        <v>1.1053770615686866</v>
      </c>
      <c r="H93">
        <v>0.65</v>
      </c>
    </row>
    <row r="94" spans="1:8" x14ac:dyDescent="0.25">
      <c r="A94" s="18">
        <v>1110603.75</v>
      </c>
      <c r="B94" s="20">
        <v>2.8980476283895162E-2</v>
      </c>
      <c r="C94" s="20">
        <v>0.83799296652943134</v>
      </c>
      <c r="D94" s="20">
        <v>0.19220007950334808</v>
      </c>
      <c r="E94" s="20">
        <v>0.73773916565018105</v>
      </c>
      <c r="F94" s="20">
        <v>3.9587267903958435E-3</v>
      </c>
      <c r="G94" s="20">
        <v>0.82226705126089805</v>
      </c>
      <c r="H94">
        <v>0.8</v>
      </c>
    </row>
    <row r="95" spans="1:8" x14ac:dyDescent="0.25">
      <c r="A95" s="18">
        <v>413072.5</v>
      </c>
      <c r="B95" s="20">
        <v>4.6654868790608891E-3</v>
      </c>
      <c r="C95" s="20">
        <v>0.94878295016050296</v>
      </c>
      <c r="D95" s="20">
        <v>5.1395331186638069E-2</v>
      </c>
      <c r="E95" s="20">
        <v>0.61133736304417885</v>
      </c>
      <c r="F95" s="20">
        <v>1.3035699177321343E-2</v>
      </c>
      <c r="G95" s="20">
        <v>0.53112851329069322</v>
      </c>
      <c r="H95">
        <v>0.67500000000000004</v>
      </c>
    </row>
    <row r="96" spans="1:8" x14ac:dyDescent="0.25">
      <c r="A96" s="18">
        <v>1555596.25</v>
      </c>
      <c r="B96" s="20">
        <v>2.0636157258403422E-3</v>
      </c>
      <c r="C96" s="20">
        <v>0.84073629313386988</v>
      </c>
      <c r="D96" s="20">
        <v>0.15058364856657688</v>
      </c>
      <c r="E96" s="20">
        <v>0.94134078135930488</v>
      </c>
      <c r="F96" s="20">
        <v>7.0594919135146733E-2</v>
      </c>
      <c r="G96" s="20">
        <v>0.75254008782422266</v>
      </c>
      <c r="H96">
        <v>0.65</v>
      </c>
    </row>
    <row r="97" spans="1:8" x14ac:dyDescent="0.25">
      <c r="A97" s="18">
        <v>-1447288</v>
      </c>
      <c r="B97" s="20">
        <v>2.2819002799849561E-3</v>
      </c>
      <c r="C97" s="20">
        <v>1.2215072729771967</v>
      </c>
      <c r="D97" s="20">
        <v>-0.11671695303404094</v>
      </c>
      <c r="E97" s="20">
        <v>0.96008048893567477</v>
      </c>
      <c r="F97" s="20">
        <v>6.9523493624707973E-3</v>
      </c>
      <c r="G97" s="20">
        <v>1.0112726323928702</v>
      </c>
      <c r="H97">
        <v>0.47499999999999998</v>
      </c>
    </row>
    <row r="98" spans="1:8" x14ac:dyDescent="0.25">
      <c r="A98" s="18">
        <v>-142823</v>
      </c>
      <c r="B98" s="20">
        <v>1.381158740315126E-4</v>
      </c>
      <c r="C98" s="20">
        <v>1.1682507374527391</v>
      </c>
      <c r="D98" s="20">
        <v>-0.24051888476487507</v>
      </c>
      <c r="E98" s="20">
        <v>0.42664946116655877</v>
      </c>
      <c r="F98" s="20">
        <v>3.0388405758051368E-2</v>
      </c>
      <c r="G98" s="20">
        <v>0.5754769698425829</v>
      </c>
      <c r="H98">
        <v>0.35</v>
      </c>
    </row>
    <row r="99" spans="1:8" x14ac:dyDescent="0.25">
      <c r="A99" s="18">
        <v>-1215911</v>
      </c>
      <c r="B99" s="20">
        <v>3.9746621236747522E-3</v>
      </c>
      <c r="C99" s="20">
        <v>1.1901751240347298</v>
      </c>
      <c r="D99" s="20">
        <v>-8.4609704302231289E-2</v>
      </c>
      <c r="E99" s="20">
        <v>0.90782347463110169</v>
      </c>
      <c r="F99" s="20">
        <v>1.2459830064000515E-2</v>
      </c>
      <c r="G99" s="20">
        <v>0.68331250325881399</v>
      </c>
      <c r="H99">
        <v>0.6</v>
      </c>
    </row>
    <row r="100" spans="1:8" x14ac:dyDescent="0.25">
      <c r="A100" s="18">
        <v>636610</v>
      </c>
      <c r="B100" s="20">
        <v>1.6097777273612638E-3</v>
      </c>
      <c r="C100" s="20">
        <v>0.87886968502455765</v>
      </c>
      <c r="D100" s="20">
        <v>5.0597182021258111E-2</v>
      </c>
      <c r="E100" s="20">
        <v>0.96493889029534341</v>
      </c>
      <c r="F100" s="20">
        <v>9.5951128626889075E-3</v>
      </c>
      <c r="G100" s="20">
        <v>1.0702652647382627</v>
      </c>
      <c r="H100">
        <v>0.625</v>
      </c>
    </row>
    <row r="101" spans="1:8" x14ac:dyDescent="0.25">
      <c r="A101" s="18">
        <v>116528.75</v>
      </c>
      <c r="B101" s="20">
        <v>7.969162474691186E-4</v>
      </c>
      <c r="C101" s="20">
        <v>0.99049828311344179</v>
      </c>
      <c r="D101" s="20">
        <v>1.3463428831156646E-2</v>
      </c>
      <c r="E101" s="20">
        <v>0.46410706585251732</v>
      </c>
      <c r="F101" s="20">
        <v>0.11519252112543595</v>
      </c>
      <c r="G101" s="20">
        <v>-2.2903223346029353</v>
      </c>
      <c r="H101">
        <v>0.45</v>
      </c>
    </row>
    <row r="102" spans="1:8" x14ac:dyDescent="0.25">
      <c r="A102" s="18">
        <v>84532.5</v>
      </c>
      <c r="B102" s="20">
        <v>4.1211153580411489E-4</v>
      </c>
      <c r="C102" s="20">
        <v>0.93999733837553379</v>
      </c>
      <c r="D102" s="20">
        <v>8.7145469765447167E-2</v>
      </c>
      <c r="E102" s="20">
        <v>0.41431596068249099</v>
      </c>
      <c r="F102" s="20">
        <v>4.4093087124336093E-2</v>
      </c>
      <c r="G102" s="20">
        <v>0.11436113157702049</v>
      </c>
      <c r="H102">
        <v>0.5</v>
      </c>
    </row>
    <row r="103" spans="1:8" x14ac:dyDescent="0.25">
      <c r="A103" s="18">
        <v>76210</v>
      </c>
      <c r="B103" s="20">
        <v>4.4178764094538191E-4</v>
      </c>
      <c r="C103" s="20">
        <v>0.95083450304843298</v>
      </c>
      <c r="D103" s="20">
        <v>4.2275663285797016E-2</v>
      </c>
      <c r="E103" s="20">
        <v>0.50968654717851747</v>
      </c>
      <c r="F103" s="20">
        <v>4.3711293998087306E-2</v>
      </c>
      <c r="G103" s="20">
        <v>0.68160566636993258</v>
      </c>
      <c r="H103">
        <v>0.57499999999999996</v>
      </c>
    </row>
    <row r="104" spans="1:8" x14ac:dyDescent="0.25">
      <c r="A104" s="18">
        <v>152502.5</v>
      </c>
      <c r="B104" s="20">
        <v>2.4239639112003778E-4</v>
      </c>
      <c r="C104" s="20">
        <v>0.89599351046615527</v>
      </c>
      <c r="D104" s="20">
        <v>7.7901077979999414E-2</v>
      </c>
      <c r="E104" s="20">
        <v>0.83764555568962606</v>
      </c>
      <c r="F104" s="20">
        <v>1.7867915651628003E-2</v>
      </c>
      <c r="G104" s="20">
        <v>0.84973139385161878</v>
      </c>
      <c r="H104">
        <v>0.65</v>
      </c>
    </row>
    <row r="105" spans="1:8" x14ac:dyDescent="0.25">
      <c r="A105" s="18">
        <v>-529156</v>
      </c>
      <c r="B105" s="20">
        <v>2.4704832930477049E-3</v>
      </c>
      <c r="C105" s="20">
        <v>1.077028730117445</v>
      </c>
      <c r="D105" s="20">
        <v>-2.7514087843585524E-2</v>
      </c>
      <c r="E105" s="20">
        <v>0.98861957191002536</v>
      </c>
      <c r="F105" s="20">
        <v>4.12392061140846E-3</v>
      </c>
      <c r="G105" s="20">
        <v>1.322718864568369</v>
      </c>
      <c r="H105">
        <v>0.4</v>
      </c>
    </row>
    <row r="106" spans="1:8" x14ac:dyDescent="0.25">
      <c r="A106" s="18">
        <v>-1134482</v>
      </c>
      <c r="B106" s="20">
        <v>2.2808848434966943E-3</v>
      </c>
      <c r="C106" s="20">
        <v>1.2879869785467803</v>
      </c>
      <c r="D106" s="20">
        <v>-0.10711366899736616</v>
      </c>
      <c r="E106" s="20">
        <v>0.79733527579678698</v>
      </c>
      <c r="F106" s="20">
        <v>1.0131348273275711E-2</v>
      </c>
      <c r="G106" s="20">
        <v>1.1813275102085332</v>
      </c>
      <c r="H106">
        <v>0.4</v>
      </c>
    </row>
    <row r="107" spans="1:8" x14ac:dyDescent="0.25">
      <c r="A107" s="18">
        <v>-88600</v>
      </c>
      <c r="B107" s="20">
        <v>3.8080059724220403E-4</v>
      </c>
      <c r="C107" s="20">
        <v>1.0349018453853849</v>
      </c>
      <c r="D107" s="20">
        <v>-4.4290920361325925E-2</v>
      </c>
      <c r="E107" s="20">
        <v>0.29184085386803182</v>
      </c>
      <c r="F107" s="20">
        <v>1.3092815972725592E-2</v>
      </c>
      <c r="G107" s="20">
        <v>1.4234889443186849</v>
      </c>
      <c r="H107">
        <v>0.2</v>
      </c>
    </row>
    <row r="108" spans="1:8" x14ac:dyDescent="0.25">
      <c r="A108" s="18">
        <v>937063.75</v>
      </c>
      <c r="B108" s="20">
        <v>1.3050671924334525E-3</v>
      </c>
      <c r="C108" s="20">
        <v>0.83763306649581182</v>
      </c>
      <c r="D108" s="20">
        <v>7.2652349054273424E-2</v>
      </c>
      <c r="E108" s="20">
        <v>0.94235713893262918</v>
      </c>
      <c r="F108" s="20">
        <v>1.6232392307779384E-2</v>
      </c>
      <c r="G108" s="20">
        <v>0.99945562103407981</v>
      </c>
      <c r="H108">
        <v>0.7</v>
      </c>
    </row>
    <row r="109" spans="1:8" x14ac:dyDescent="0.25">
      <c r="A109" s="18">
        <v>-781550</v>
      </c>
      <c r="B109" s="20">
        <v>4.8869774266826875E-4</v>
      </c>
      <c r="C109" s="20">
        <v>1.1274747388370649</v>
      </c>
      <c r="D109" s="20">
        <v>-0.13065345114517152</v>
      </c>
      <c r="E109" s="20">
        <v>0.32575822718750835</v>
      </c>
      <c r="F109" s="20">
        <v>1.7981545858266373E-2</v>
      </c>
      <c r="G109" s="20">
        <v>1.3773279412380983</v>
      </c>
      <c r="H109">
        <v>0.2</v>
      </c>
    </row>
    <row r="110" spans="1:8" x14ac:dyDescent="0.25">
      <c r="A110" s="18">
        <v>-1183482</v>
      </c>
      <c r="B110" s="20">
        <v>7.2015554418689996E-4</v>
      </c>
      <c r="C110" s="20">
        <v>1.2257294634508094</v>
      </c>
      <c r="D110" s="20">
        <v>-0.17074247488164704</v>
      </c>
      <c r="E110" s="20">
        <v>0.5335653660461791</v>
      </c>
      <c r="F110" s="20">
        <v>3.1832594520057031E-2</v>
      </c>
      <c r="G110" s="20">
        <v>1.1270117209899817</v>
      </c>
      <c r="H110">
        <v>0.27500000000000002</v>
      </c>
    </row>
    <row r="111" spans="1:8" x14ac:dyDescent="0.25">
      <c r="A111" s="18">
        <v>67975</v>
      </c>
      <c r="B111" s="20">
        <v>3.7013415486326275E-3</v>
      </c>
      <c r="C111" s="20">
        <v>0.99333901796733037</v>
      </c>
      <c r="D111" s="20">
        <v>7.4439032488599517E-3</v>
      </c>
      <c r="E111" s="20">
        <v>0.45529049615291034</v>
      </c>
      <c r="F111" s="20">
        <v>9.8613238331715885E-4</v>
      </c>
      <c r="G111" s="20">
        <v>2.1147629150645564</v>
      </c>
      <c r="H111">
        <v>0.45</v>
      </c>
    </row>
    <row r="112" spans="1:8" x14ac:dyDescent="0.25">
      <c r="A112" s="18">
        <v>-503884</v>
      </c>
      <c r="B112" s="20">
        <v>1.0454230097482894E-3</v>
      </c>
      <c r="C112" s="20">
        <v>1.1356096482605587</v>
      </c>
      <c r="D112" s="20">
        <v>-9.1200657954274789E-2</v>
      </c>
      <c r="E112" s="20">
        <v>0.64676020197633388</v>
      </c>
      <c r="F112" s="20">
        <v>4.8222951512795285E-2</v>
      </c>
      <c r="G112" s="20">
        <v>0.94791692651228732</v>
      </c>
      <c r="H112">
        <v>0.47499999999999998</v>
      </c>
    </row>
    <row r="113" spans="1:8" x14ac:dyDescent="0.25">
      <c r="A113" s="18">
        <v>3713.35</v>
      </c>
      <c r="B113" s="20">
        <v>3.1766167502079534E-4</v>
      </c>
      <c r="C113" s="20">
        <v>0.99894405799800845</v>
      </c>
      <c r="D113" s="20">
        <v>2.1397648151637574E-3</v>
      </c>
      <c r="E113" s="20">
        <v>0.67972281550945302</v>
      </c>
      <c r="F113" s="20">
        <v>4.6496458167305426E-3</v>
      </c>
      <c r="G113" s="20">
        <v>-0.74196930950913054</v>
      </c>
      <c r="H113">
        <v>0.57499999999999996</v>
      </c>
    </row>
    <row r="114" spans="1:8" x14ac:dyDescent="0.25">
      <c r="A114" s="18">
        <v>-794130</v>
      </c>
      <c r="B114" s="20">
        <v>8.7920997673014128E-3</v>
      </c>
      <c r="C114" s="20">
        <v>1.0810692713597427</v>
      </c>
      <c r="D114" s="20">
        <v>-7.9569879975359414E-2</v>
      </c>
      <c r="E114" s="20">
        <v>0.6967432925182302</v>
      </c>
      <c r="F114" s="20">
        <v>9.9566304926793667E-4</v>
      </c>
      <c r="G114" s="20">
        <v>1.5653249529692463</v>
      </c>
      <c r="H114">
        <v>0.42499999999999999</v>
      </c>
    </row>
    <row r="115" spans="1:8" x14ac:dyDescent="0.25">
      <c r="A115" s="18">
        <v>1897090</v>
      </c>
      <c r="B115" s="20">
        <v>1.7380375403366899E-3</v>
      </c>
      <c r="C115" s="20">
        <v>0.78297091993021883</v>
      </c>
      <c r="D115" s="20">
        <v>0.13158850308150116</v>
      </c>
      <c r="E115" s="20">
        <v>0.77034540098542492</v>
      </c>
      <c r="F115" s="20">
        <v>1.9750240638775344E-2</v>
      </c>
      <c r="G115" s="20">
        <v>1.3252973240199233</v>
      </c>
      <c r="H115">
        <v>0.55000000000000004</v>
      </c>
    </row>
    <row r="116" spans="1:8" x14ac:dyDescent="0.25">
      <c r="A116" s="18">
        <v>139782.5</v>
      </c>
      <c r="B116" s="20">
        <v>4.293952682122102E-4</v>
      </c>
      <c r="C116" s="20">
        <v>0.91126353050872089</v>
      </c>
      <c r="D116" s="20">
        <v>6.0852944684800618E-2</v>
      </c>
      <c r="E116" s="20">
        <v>0.79943494468297771</v>
      </c>
      <c r="F116" s="20">
        <v>8.5896979348330516E-3</v>
      </c>
      <c r="G116" s="20">
        <v>1.3386984730022193</v>
      </c>
      <c r="H116">
        <v>0.5</v>
      </c>
    </row>
    <row r="117" spans="1:8" x14ac:dyDescent="0.25">
      <c r="A117" s="18">
        <v>-818408</v>
      </c>
      <c r="B117" s="20">
        <v>1.7227433338298549E-3</v>
      </c>
      <c r="C117" s="20">
        <v>1.0942650702108747</v>
      </c>
      <c r="D117" s="20">
        <v>-9.8604181335461547E-2</v>
      </c>
      <c r="E117" s="20">
        <v>0.35240988985742017</v>
      </c>
      <c r="F117" s="20">
        <v>3.0924711190404932E-2</v>
      </c>
      <c r="G117" s="20">
        <v>1.2367072618576538</v>
      </c>
      <c r="H117">
        <v>0.25</v>
      </c>
    </row>
    <row r="118" spans="1:8" x14ac:dyDescent="0.25">
      <c r="A118" s="18">
        <v>-928639</v>
      </c>
      <c r="B118" s="20">
        <v>7.3411224523336942E-3</v>
      </c>
      <c r="C118" s="20">
        <v>1.1185534560837571</v>
      </c>
      <c r="D118" s="20">
        <v>-0.14922562928517563</v>
      </c>
      <c r="E118" s="20">
        <v>0.39541780558266981</v>
      </c>
      <c r="F118" s="20">
        <v>5.9991775740942589E-2</v>
      </c>
      <c r="G118" s="20">
        <v>0.78902122695364851</v>
      </c>
      <c r="H118">
        <v>0.45</v>
      </c>
    </row>
    <row r="119" spans="1:8" x14ac:dyDescent="0.25">
      <c r="A119" s="18">
        <v>-1982622</v>
      </c>
      <c r="B119" s="20">
        <v>5.0464230665400872E-3</v>
      </c>
      <c r="C119" s="20">
        <v>1.231392759747894</v>
      </c>
      <c r="D119" s="20">
        <v>-8.9658435270095635E-2</v>
      </c>
      <c r="E119" s="20">
        <v>0.90395225993011297</v>
      </c>
      <c r="F119" s="20">
        <v>4.6197142538778897E-3</v>
      </c>
      <c r="G119" s="20">
        <v>0.66892172747386391</v>
      </c>
      <c r="H119">
        <v>0.65</v>
      </c>
    </row>
    <row r="120" spans="1:8" x14ac:dyDescent="0.25">
      <c r="A120" s="18">
        <v>411895</v>
      </c>
      <c r="B120" s="20">
        <v>1.6876194189776159E-3</v>
      </c>
      <c r="C120" s="20">
        <v>0.95139927524583634</v>
      </c>
      <c r="D120" s="20">
        <v>4.0262858367249431E-2</v>
      </c>
      <c r="E120" s="20">
        <v>0.94559540545259579</v>
      </c>
      <c r="F120" s="20">
        <v>8.5386838978282614E-3</v>
      </c>
      <c r="G120" s="20">
        <v>0.55270029651155195</v>
      </c>
      <c r="H120">
        <v>0.7</v>
      </c>
    </row>
    <row r="121" spans="1:8" x14ac:dyDescent="0.25">
      <c r="A121" s="18">
        <v>1685192.5</v>
      </c>
      <c r="B121" s="20">
        <v>9.5435455096358902E-4</v>
      </c>
      <c r="C121" s="20">
        <v>0.8046512058432731</v>
      </c>
      <c r="D121" s="20">
        <v>0.27207094993578407</v>
      </c>
      <c r="E121" s="20">
        <v>0.37355486688597278</v>
      </c>
      <c r="F121" s="20">
        <v>1.6555684624258046E-2</v>
      </c>
      <c r="G121" s="20">
        <v>0.60940470692964688</v>
      </c>
      <c r="H121">
        <v>0.5</v>
      </c>
    </row>
    <row r="122" spans="1:8" x14ac:dyDescent="0.25">
      <c r="A122" s="18">
        <v>-569068</v>
      </c>
      <c r="B122" s="20">
        <v>3.5093655450553654E-3</v>
      </c>
      <c r="C122" s="20">
        <v>1.0606260806229761</v>
      </c>
      <c r="D122" s="20">
        <v>-3.7891315922012607E-2</v>
      </c>
      <c r="E122" s="20">
        <v>0.55710749189920983</v>
      </c>
      <c r="F122" s="20">
        <v>7.4648292084897306E-4</v>
      </c>
      <c r="G122" s="20">
        <v>0.82241752169900462</v>
      </c>
      <c r="H122">
        <v>0.52500000000000002</v>
      </c>
    </row>
    <row r="123" spans="1:8" x14ac:dyDescent="0.25">
      <c r="A123" s="18">
        <v>-562764</v>
      </c>
      <c r="B123" s="20">
        <v>5.8319951914634555E-4</v>
      </c>
      <c r="C123" s="20">
        <v>1.2358658817464125</v>
      </c>
      <c r="D123" s="20">
        <v>-0.20601335365288923</v>
      </c>
      <c r="E123" s="20">
        <v>0.56387760224652117</v>
      </c>
      <c r="F123" s="20">
        <v>7.7911561610096618E-3</v>
      </c>
      <c r="G123" s="20">
        <v>1.7342007552279566</v>
      </c>
      <c r="H123">
        <v>0.27500000000000002</v>
      </c>
    </row>
    <row r="124" spans="1:8" x14ac:dyDescent="0.25">
      <c r="A124" s="18">
        <v>75191.25</v>
      </c>
      <c r="B124" s="20">
        <v>6.0798218124582269E-5</v>
      </c>
      <c r="C124" s="20">
        <v>0.90382778717202561</v>
      </c>
      <c r="D124" s="20">
        <v>0.11291232058817346</v>
      </c>
      <c r="E124" s="20">
        <v>0.41069504601097406</v>
      </c>
      <c r="F124" s="20">
        <v>7.7616732189462495E-2</v>
      </c>
      <c r="G124" s="20">
        <v>1.1223199389994665</v>
      </c>
      <c r="H124">
        <v>0.3</v>
      </c>
    </row>
    <row r="125" spans="1:8" x14ac:dyDescent="0.25">
      <c r="A125" s="18">
        <v>1437246.25</v>
      </c>
      <c r="B125" s="20">
        <v>1.9647283238533749E-3</v>
      </c>
      <c r="C125" s="20">
        <v>0.80196389253704947</v>
      </c>
      <c r="D125" s="20">
        <v>0.12011746009724755</v>
      </c>
      <c r="E125" s="20">
        <v>0.94420212058692743</v>
      </c>
      <c r="F125" s="20">
        <v>2.0732382030096931E-3</v>
      </c>
      <c r="G125" s="20">
        <v>0.57970277898589362</v>
      </c>
      <c r="H125">
        <v>0.7</v>
      </c>
    </row>
    <row r="126" spans="1:8" x14ac:dyDescent="0.25">
      <c r="A126" s="18">
        <v>-819967</v>
      </c>
      <c r="B126" s="20">
        <v>3.0044687867184765E-3</v>
      </c>
      <c r="C126" s="20">
        <v>1.1849476199764366</v>
      </c>
      <c r="D126" s="20">
        <v>-0.24385534156883809</v>
      </c>
      <c r="E126" s="20">
        <v>0.95165634212278061</v>
      </c>
      <c r="F126" s="20">
        <v>9.7419073942889164E-2</v>
      </c>
      <c r="G126" s="20">
        <v>0.85927522962675773</v>
      </c>
      <c r="H126">
        <v>0.55000000000000004</v>
      </c>
    </row>
    <row r="127" spans="1:8" x14ac:dyDescent="0.25">
      <c r="A127" s="18">
        <v>1131451.25</v>
      </c>
      <c r="B127" s="20">
        <v>9.5379831310027331E-4</v>
      </c>
      <c r="C127" s="20">
        <v>0.84809899879056061</v>
      </c>
      <c r="D127" s="20">
        <v>0.19791425421856274</v>
      </c>
      <c r="E127" s="20">
        <v>0.92587645168332755</v>
      </c>
      <c r="F127" s="20">
        <v>8.6020232028821336E-2</v>
      </c>
      <c r="G127" s="20">
        <v>1.0312274421854171</v>
      </c>
      <c r="H127">
        <v>0.52500000000000002</v>
      </c>
    </row>
    <row r="128" spans="1:8" x14ac:dyDescent="0.25">
      <c r="A128" s="18">
        <v>1673621.25</v>
      </c>
      <c r="B128" s="20">
        <v>2.4010021232272415E-3</v>
      </c>
      <c r="C128" s="20">
        <v>0.81022932736893938</v>
      </c>
      <c r="D128" s="20">
        <v>0.20320054398192974</v>
      </c>
      <c r="E128" s="20">
        <v>0.28236125408351997</v>
      </c>
      <c r="F128" s="20">
        <v>8.4571925049381994E-3</v>
      </c>
      <c r="G128" s="20">
        <v>0.53854813371527077</v>
      </c>
      <c r="H128">
        <v>0.55000000000000004</v>
      </c>
    </row>
    <row r="129" spans="1:8" x14ac:dyDescent="0.25">
      <c r="A129" s="18">
        <v>92787.5</v>
      </c>
      <c r="B129" s="20">
        <v>1.2413017494971328E-3</v>
      </c>
      <c r="C129" s="20">
        <v>0.92329704312245608</v>
      </c>
      <c r="D129" s="20">
        <v>6.804662995467102E-2</v>
      </c>
      <c r="E129" s="20">
        <v>0.70482288287505968</v>
      </c>
      <c r="F129" s="20">
        <v>6.76106475054397E-2</v>
      </c>
      <c r="G129" s="20">
        <v>1.452339932199268</v>
      </c>
      <c r="H129">
        <v>0.5</v>
      </c>
    </row>
    <row r="130" spans="1:8" x14ac:dyDescent="0.25">
      <c r="A130" s="18">
        <v>81665</v>
      </c>
      <c r="B130" s="20">
        <v>2.7063933320800097E-2</v>
      </c>
      <c r="C130" s="20">
        <v>0.95913394990126843</v>
      </c>
      <c r="D130" s="20">
        <v>4.8271157828037287E-2</v>
      </c>
      <c r="E130" s="20">
        <v>0.62315306136731474</v>
      </c>
      <c r="F130" s="20">
        <v>7.1728463875985124E-3</v>
      </c>
      <c r="G130" s="20">
        <v>0.49192321293440339</v>
      </c>
      <c r="H130">
        <v>0.72499999999999998</v>
      </c>
    </row>
    <row r="131" spans="1:8" x14ac:dyDescent="0.25">
      <c r="A131" s="18">
        <v>-1256856</v>
      </c>
      <c r="B131" s="20">
        <v>2.5359038840628684E-3</v>
      </c>
      <c r="C131" s="20">
        <v>1.1684504397054274</v>
      </c>
      <c r="D131" s="20">
        <v>-0.21068120181498262</v>
      </c>
      <c r="E131" s="20">
        <v>0.47797781841708348</v>
      </c>
      <c r="F131" s="20">
        <v>1.8361537173400437E-2</v>
      </c>
      <c r="G131" s="20">
        <v>0.87323054104250675</v>
      </c>
      <c r="H131">
        <v>0.4</v>
      </c>
    </row>
    <row r="132" spans="1:8" x14ac:dyDescent="0.25">
      <c r="A132" s="18">
        <v>-1142123</v>
      </c>
      <c r="B132" s="20">
        <v>1.0664734521837538E-3</v>
      </c>
      <c r="C132" s="20">
        <v>1.2511911017614532</v>
      </c>
      <c r="D132" s="20">
        <v>-0.32446491781296699</v>
      </c>
      <c r="E132" s="20">
        <v>0.4738757932830911</v>
      </c>
      <c r="F132" s="20">
        <v>1.3863273504127818E-2</v>
      </c>
      <c r="G132" s="20">
        <v>1.0675207369499651</v>
      </c>
      <c r="H132">
        <v>0.32500000000000001</v>
      </c>
    </row>
    <row r="133" spans="1:8" x14ac:dyDescent="0.25">
      <c r="A133" s="18">
        <v>-187467</v>
      </c>
      <c r="B133" s="20">
        <v>1.4332113230764625E-4</v>
      </c>
      <c r="C133" s="20">
        <v>1.1639701178815793</v>
      </c>
      <c r="D133" s="20">
        <v>-0.15009800122341396</v>
      </c>
      <c r="E133" s="20">
        <v>0.85093783001192302</v>
      </c>
      <c r="F133" s="20">
        <v>2.4841388542824291E-2</v>
      </c>
      <c r="G133" s="20">
        <v>1.5538987740892045</v>
      </c>
      <c r="H133">
        <v>0.35</v>
      </c>
    </row>
    <row r="134" spans="1:8" x14ac:dyDescent="0.25">
      <c r="A134" s="18">
        <v>216563.75</v>
      </c>
      <c r="B134" s="20">
        <v>1.372630706741837E-3</v>
      </c>
      <c r="C134" s="20">
        <v>0.98159498512950072</v>
      </c>
      <c r="D134" s="20">
        <v>1.3417263920557494E-2</v>
      </c>
      <c r="E134" s="20">
        <v>0.95218941849394989</v>
      </c>
      <c r="F134" s="20">
        <v>1.8287334752150142E-3</v>
      </c>
      <c r="G134" s="20">
        <v>0.88675600585514303</v>
      </c>
      <c r="H134">
        <v>0.7</v>
      </c>
    </row>
    <row r="135" spans="1:8" x14ac:dyDescent="0.25">
      <c r="A135" s="18">
        <v>102632.5</v>
      </c>
      <c r="B135" s="20">
        <v>1.419619171953569E-3</v>
      </c>
      <c r="C135" s="20">
        <v>0.97164117073204659</v>
      </c>
      <c r="D135" s="20">
        <v>1.1285229058289653E-2</v>
      </c>
      <c r="E135" s="20">
        <v>0.90858611132785161</v>
      </c>
      <c r="F135" s="20">
        <v>1.4830098928902479E-2</v>
      </c>
      <c r="G135" s="20">
        <v>1.5737853860049387</v>
      </c>
      <c r="H135">
        <v>0.55000000000000004</v>
      </c>
    </row>
    <row r="136" spans="1:8" x14ac:dyDescent="0.25">
      <c r="A136" s="18">
        <v>1175760</v>
      </c>
      <c r="B136" s="20">
        <v>3.0047033192394362E-2</v>
      </c>
      <c r="C136" s="20">
        <v>0.90219466202146359</v>
      </c>
      <c r="D136" s="20">
        <v>0.13954256774655416</v>
      </c>
      <c r="E136" s="20">
        <v>0.44824839099732017</v>
      </c>
      <c r="F136" s="20">
        <v>0.10644084798433766</v>
      </c>
      <c r="G136" s="20">
        <v>0.64575863507251241</v>
      </c>
      <c r="H136">
        <v>0.6</v>
      </c>
    </row>
    <row r="137" spans="1:8" x14ac:dyDescent="0.25">
      <c r="A137" s="18">
        <v>-1299599</v>
      </c>
      <c r="B137" s="20">
        <v>2.8578695634031157E-3</v>
      </c>
      <c r="C137" s="20">
        <v>1.1534384935096658</v>
      </c>
      <c r="D137" s="20">
        <v>-0.12987100329824236</v>
      </c>
      <c r="E137" s="20">
        <v>0.92913678633654739</v>
      </c>
      <c r="F137" s="20">
        <v>2.0118928593377834E-2</v>
      </c>
      <c r="G137" s="20">
        <v>0.84475944787092561</v>
      </c>
      <c r="H137">
        <v>0.55000000000000004</v>
      </c>
    </row>
    <row r="138" spans="1:8" x14ac:dyDescent="0.25">
      <c r="A138" s="18">
        <v>-32889</v>
      </c>
      <c r="B138" s="20">
        <v>7.2256971942201626E-4</v>
      </c>
      <c r="C138" s="20">
        <v>1.0260426901733997</v>
      </c>
      <c r="D138" s="20">
        <v>-9.5507552847280269E-3</v>
      </c>
      <c r="E138" s="20">
        <v>0.94481650360479275</v>
      </c>
      <c r="F138" s="20">
        <v>1.3101397896737196E-2</v>
      </c>
      <c r="G138" s="20">
        <v>0.47377713683942807</v>
      </c>
      <c r="H138">
        <v>0.5</v>
      </c>
    </row>
    <row r="139" spans="1:8" x14ac:dyDescent="0.25">
      <c r="A139" s="18">
        <v>-22376</v>
      </c>
      <c r="B139" s="20">
        <v>1.3478513022933437E-4</v>
      </c>
      <c r="C139" s="20">
        <v>1.0307570372665</v>
      </c>
      <c r="D139" s="20">
        <v>-1.8347766264414141E-2</v>
      </c>
      <c r="E139" s="20">
        <v>0.93163117901801851</v>
      </c>
      <c r="F139" s="20">
        <v>1.8791372876366591E-2</v>
      </c>
      <c r="G139" s="20">
        <v>1.7503292225994815</v>
      </c>
      <c r="H139">
        <v>0.35</v>
      </c>
    </row>
    <row r="140" spans="1:8" x14ac:dyDescent="0.25">
      <c r="A140" s="18">
        <v>-706949</v>
      </c>
      <c r="B140" s="20">
        <v>2.5616411278013853E-3</v>
      </c>
      <c r="C140" s="20">
        <v>1.0732234031644439</v>
      </c>
      <c r="D140" s="20">
        <v>-8.0376425292226897E-2</v>
      </c>
      <c r="E140" s="20">
        <v>0.26480765018069768</v>
      </c>
      <c r="F140" s="20">
        <v>4.0861911184578168E-3</v>
      </c>
      <c r="G140" s="20">
        <v>0.89846519068892972</v>
      </c>
      <c r="H140">
        <v>0.4</v>
      </c>
    </row>
    <row r="141" spans="1:8" x14ac:dyDescent="0.25">
      <c r="A141" s="18">
        <v>-961019</v>
      </c>
      <c r="B141" s="20">
        <v>4.7525156078041071E-3</v>
      </c>
      <c r="C141" s="20">
        <v>1.0991994088473664</v>
      </c>
      <c r="D141" s="20">
        <v>-4.5460923017304325E-2</v>
      </c>
      <c r="E141" s="20">
        <v>0.69639206848827873</v>
      </c>
      <c r="F141" s="20">
        <v>9.6816133171285616E-3</v>
      </c>
      <c r="G141" s="20">
        <v>1.6001951642703252</v>
      </c>
      <c r="H141">
        <v>0.375</v>
      </c>
    </row>
    <row r="142" spans="1:8" x14ac:dyDescent="0.25">
      <c r="A142" s="18">
        <v>117373.75</v>
      </c>
      <c r="B142" s="20">
        <v>6.8779091419023651E-4</v>
      </c>
      <c r="C142" s="20">
        <v>0.90735031019063128</v>
      </c>
      <c r="D142" s="20">
        <v>8.0549996774534463E-2</v>
      </c>
      <c r="E142" s="20">
        <v>0.96344327459396839</v>
      </c>
      <c r="F142" s="20">
        <v>8.2647407206101753E-3</v>
      </c>
      <c r="G142" s="20">
        <v>0.69735087603697821</v>
      </c>
      <c r="H142">
        <v>0.65</v>
      </c>
    </row>
    <row r="143" spans="1:8" x14ac:dyDescent="0.25">
      <c r="A143" s="18">
        <v>2342056.25</v>
      </c>
      <c r="B143" s="20">
        <v>1.0583749520558001E-2</v>
      </c>
      <c r="C143" s="20">
        <v>0.7863457973515362</v>
      </c>
      <c r="D143" s="20">
        <v>0.26611085261937345</v>
      </c>
      <c r="E143" s="20">
        <v>0.72074561695881478</v>
      </c>
      <c r="F143" s="20">
        <v>6.5125146928408012E-2</v>
      </c>
      <c r="G143" s="20">
        <v>1.0367737066463891</v>
      </c>
      <c r="H143">
        <v>0.67500000000000004</v>
      </c>
    </row>
    <row r="144" spans="1:8" x14ac:dyDescent="0.25">
      <c r="A144" s="18">
        <v>-172077</v>
      </c>
      <c r="B144" s="20">
        <v>5.8731255564382218E-2</v>
      </c>
      <c r="C144" s="20">
        <v>1.1448377860017829</v>
      </c>
      <c r="D144" s="20">
        <v>-6.2719351159770564E-2</v>
      </c>
      <c r="E144" s="20">
        <v>0.66526505943757086</v>
      </c>
      <c r="F144" s="20">
        <v>1.8364901919118763E-2</v>
      </c>
      <c r="G144" s="20">
        <v>0.40496688376335072</v>
      </c>
      <c r="H144">
        <v>0.57499999999999996</v>
      </c>
    </row>
    <row r="145" spans="1:8" x14ac:dyDescent="0.25">
      <c r="A145" s="18">
        <v>803000</v>
      </c>
      <c r="B145" s="20">
        <v>1.9030115184433497E-3</v>
      </c>
      <c r="C145" s="20">
        <v>0.86246698476456718</v>
      </c>
      <c r="D145" s="20">
        <v>0.16374465051528586</v>
      </c>
      <c r="E145" s="20">
        <v>0.68153378062208592</v>
      </c>
      <c r="F145" s="20">
        <v>5.1277157294987316E-2</v>
      </c>
      <c r="G145" s="20">
        <v>0.32287773618966498</v>
      </c>
      <c r="H145">
        <v>0.57499999999999996</v>
      </c>
    </row>
    <row r="146" spans="1:8" x14ac:dyDescent="0.25">
      <c r="A146" s="18">
        <v>1852548.75</v>
      </c>
      <c r="B146" s="20">
        <v>2.4479812004416781E-3</v>
      </c>
      <c r="C146" s="20">
        <v>0.85238665113580114</v>
      </c>
      <c r="D146" s="20">
        <v>0.18270760215231288</v>
      </c>
      <c r="E146" s="20">
        <v>0.73810383489518472</v>
      </c>
      <c r="F146" s="20">
        <v>5.7054359530300455E-2</v>
      </c>
      <c r="G146" s="20">
        <v>0.75060260822947256</v>
      </c>
      <c r="H146">
        <v>0.65</v>
      </c>
    </row>
    <row r="147" spans="1:8" x14ac:dyDescent="0.25">
      <c r="A147" s="18">
        <v>710530</v>
      </c>
      <c r="B147" s="20">
        <v>3.264431617641853E-3</v>
      </c>
      <c r="C147" s="20">
        <v>0.88374058009703382</v>
      </c>
      <c r="D147" s="20">
        <v>0.13631621417222045</v>
      </c>
      <c r="E147" s="20">
        <v>0.70516728756805125</v>
      </c>
      <c r="F147" s="20">
        <v>2.7479651275447655E-2</v>
      </c>
      <c r="G147" s="20">
        <v>0.87634713444130363</v>
      </c>
      <c r="H147">
        <v>0.75</v>
      </c>
    </row>
    <row r="148" spans="1:8" x14ac:dyDescent="0.25">
      <c r="A148" s="18">
        <v>-104362</v>
      </c>
      <c r="B148" s="20">
        <v>1.4497141113505485E-4</v>
      </c>
      <c r="C148" s="20">
        <v>1.2144774975302417</v>
      </c>
      <c r="D148" s="20">
        <v>-0.1367993036949261</v>
      </c>
      <c r="E148" s="20">
        <v>0.56420906273805038</v>
      </c>
      <c r="F148" s="20">
        <v>1.2703110826809843E-2</v>
      </c>
      <c r="G148" s="20">
        <v>0.99798092763079371</v>
      </c>
      <c r="H148">
        <v>0.42499999999999999</v>
      </c>
    </row>
    <row r="149" spans="1:8" x14ac:dyDescent="0.25">
      <c r="A149" s="18">
        <v>-350631</v>
      </c>
      <c r="B149" s="20">
        <v>2.2728025190064979E-3</v>
      </c>
      <c r="C149" s="20">
        <v>1.0662318127477741</v>
      </c>
      <c r="D149" s="20">
        <v>-4.0702784156292304E-2</v>
      </c>
      <c r="E149" s="20">
        <v>0.86213217816897081</v>
      </c>
      <c r="F149" s="20">
        <v>8.2480974059434969E-2</v>
      </c>
      <c r="G149" s="20">
        <v>1.6939794464753806</v>
      </c>
      <c r="H149">
        <v>0.35</v>
      </c>
    </row>
    <row r="150" spans="1:8" x14ac:dyDescent="0.25">
      <c r="A150" s="18">
        <v>960901.25</v>
      </c>
      <c r="B150" s="20">
        <v>3.5871297689373589E-2</v>
      </c>
      <c r="C150" s="20">
        <v>0.85047995106075347</v>
      </c>
      <c r="D150" s="20">
        <v>0.1188657250775057</v>
      </c>
      <c r="E150" s="20">
        <v>0.77220460715622019</v>
      </c>
      <c r="F150" s="20">
        <v>1.7463181856529539E-2</v>
      </c>
      <c r="G150" s="20">
        <v>0.52356949037858824</v>
      </c>
      <c r="H150">
        <v>0.8</v>
      </c>
    </row>
    <row r="151" spans="1:8" x14ac:dyDescent="0.25">
      <c r="A151" s="18">
        <v>1124635</v>
      </c>
      <c r="B151" s="20">
        <v>1.4543298143691154E-3</v>
      </c>
      <c r="C151" s="20">
        <v>0.82228403723198951</v>
      </c>
      <c r="D151" s="20">
        <v>0.1893984621916287</v>
      </c>
      <c r="E151" s="20">
        <v>0.81918756012400251</v>
      </c>
      <c r="F151" s="20">
        <v>3.2226881720249026E-2</v>
      </c>
      <c r="G151" s="20">
        <v>0.84331789622254327</v>
      </c>
      <c r="H151">
        <v>0.7</v>
      </c>
    </row>
    <row r="152" spans="1:8" x14ac:dyDescent="0.25">
      <c r="A152" s="18">
        <v>-313989</v>
      </c>
      <c r="B152" s="20">
        <v>8.990937864627169E-4</v>
      </c>
      <c r="C152" s="20">
        <v>1.1152081606026965</v>
      </c>
      <c r="D152" s="20">
        <v>-9.8899344028695671E-2</v>
      </c>
      <c r="E152" s="20">
        <v>0.68353437830212804</v>
      </c>
      <c r="F152" s="20">
        <v>4.0974110772405738E-2</v>
      </c>
      <c r="G152" s="20">
        <v>1.1397900939888403</v>
      </c>
      <c r="H152">
        <v>0.27500000000000002</v>
      </c>
    </row>
    <row r="153" spans="1:8" x14ac:dyDescent="0.25">
      <c r="A153" s="18">
        <v>-617249</v>
      </c>
      <c r="B153" s="20">
        <v>1.2056515652925865E-3</v>
      </c>
      <c r="C153" s="20">
        <v>1.0976081769011754</v>
      </c>
      <c r="D153" s="20">
        <v>-6.1344917313178711E-2</v>
      </c>
      <c r="E153" s="20">
        <v>0.92951489149269106</v>
      </c>
      <c r="F153" s="20">
        <v>1.0011983770131054E-3</v>
      </c>
      <c r="G153" s="20">
        <v>1.4846967447819261</v>
      </c>
      <c r="H153">
        <v>0.4</v>
      </c>
    </row>
    <row r="154" spans="1:8" x14ac:dyDescent="0.25">
      <c r="A154" s="18">
        <v>-2163351</v>
      </c>
      <c r="B154" s="20">
        <v>3.6300286290671972E-3</v>
      </c>
      <c r="C154" s="20">
        <v>1.2057312989240321</v>
      </c>
      <c r="D154" s="20">
        <v>-8.1191810482898044E-2</v>
      </c>
      <c r="E154" s="20">
        <v>0.86789289178024298</v>
      </c>
      <c r="F154" s="20">
        <v>2.4721390826123427E-4</v>
      </c>
      <c r="G154" s="20">
        <v>1.0191431727343245</v>
      </c>
      <c r="H154">
        <v>0.57499999999999996</v>
      </c>
    </row>
    <row r="155" spans="1:8" x14ac:dyDescent="0.25">
      <c r="A155" s="18">
        <v>-604053</v>
      </c>
      <c r="B155" s="20">
        <v>1.3250759059061978E-2</v>
      </c>
      <c r="C155" s="20">
        <v>1.0675158818188137</v>
      </c>
      <c r="D155" s="20">
        <v>-9.6727765815083314E-2</v>
      </c>
      <c r="E155" s="20">
        <v>0.2617852419970319</v>
      </c>
      <c r="F155" s="20">
        <v>2.9460147894025776E-2</v>
      </c>
      <c r="G155" s="20">
        <v>1.6957318489076074</v>
      </c>
      <c r="H155">
        <v>0.35</v>
      </c>
    </row>
    <row r="156" spans="1:8" x14ac:dyDescent="0.25">
      <c r="A156" s="18">
        <v>-393709</v>
      </c>
      <c r="B156" s="20">
        <v>1.746136836897214E-3</v>
      </c>
      <c r="C156" s="20">
        <v>1.2176330399024389</v>
      </c>
      <c r="D156" s="20">
        <v>-0.10481108347211988</v>
      </c>
      <c r="E156" s="20">
        <v>0.75458017030628211</v>
      </c>
      <c r="F156" s="20">
        <v>9.1258364462693756E-3</v>
      </c>
      <c r="G156" s="20">
        <v>1.4328125195686139</v>
      </c>
      <c r="H156">
        <v>0.4</v>
      </c>
    </row>
    <row r="157" spans="1:8" x14ac:dyDescent="0.25">
      <c r="A157" s="18">
        <v>707802.5</v>
      </c>
      <c r="B157" s="20">
        <v>3.1637203479369207E-3</v>
      </c>
      <c r="C157" s="20">
        <v>0.93303565668148891</v>
      </c>
      <c r="D157" s="20">
        <v>5.279234965626544E-2</v>
      </c>
      <c r="E157" s="20">
        <v>0.53888080516124548</v>
      </c>
      <c r="F157" s="20">
        <v>5.0348120235755273E-2</v>
      </c>
      <c r="G157" s="20">
        <v>0.83643026316170344</v>
      </c>
      <c r="H157">
        <v>0.625</v>
      </c>
    </row>
    <row r="158" spans="1:8" x14ac:dyDescent="0.25">
      <c r="A158" s="18">
        <v>-899760</v>
      </c>
      <c r="B158" s="20">
        <v>3.7193913532813706E-3</v>
      </c>
      <c r="C158" s="20">
        <v>1.1091216903435381</v>
      </c>
      <c r="D158" s="20">
        <v>-0.10298505105186086</v>
      </c>
      <c r="E158" s="20">
        <v>0.32364689601256652</v>
      </c>
      <c r="F158" s="20">
        <v>1.8836640683856633E-2</v>
      </c>
      <c r="G158" s="20">
        <v>1.384951892827506</v>
      </c>
      <c r="H158">
        <v>0.3</v>
      </c>
    </row>
    <row r="159" spans="1:8" x14ac:dyDescent="0.25">
      <c r="A159" s="18">
        <v>-695545</v>
      </c>
      <c r="B159" s="20">
        <v>1.0711210399927896E-3</v>
      </c>
      <c r="C159" s="20">
        <v>1.1591218056401078</v>
      </c>
      <c r="D159" s="20">
        <v>-0.12547704802546542</v>
      </c>
      <c r="E159" s="20">
        <v>0.64997848337708963</v>
      </c>
      <c r="F159" s="20">
        <v>4.6832112469230347E-4</v>
      </c>
      <c r="G159" s="20">
        <v>0.87597191965498133</v>
      </c>
      <c r="H159">
        <v>0.52500000000000002</v>
      </c>
    </row>
    <row r="160" spans="1:8" x14ac:dyDescent="0.25">
      <c r="A160" s="18">
        <v>-117116</v>
      </c>
      <c r="B160" s="20">
        <v>2.7898588462797215E-4</v>
      </c>
      <c r="C160" s="20">
        <v>1.1698671226935757</v>
      </c>
      <c r="D160" s="20">
        <v>-0.11186056684833168</v>
      </c>
      <c r="E160" s="20">
        <v>0.78263697129982768</v>
      </c>
      <c r="F160" s="20">
        <v>5.6104116403147336E-3</v>
      </c>
      <c r="G160" s="20">
        <v>1.2789255675775868</v>
      </c>
      <c r="H160">
        <v>0.35</v>
      </c>
    </row>
    <row r="161" spans="1:8" x14ac:dyDescent="0.25">
      <c r="A161" s="18">
        <v>-465630</v>
      </c>
      <c r="B161" s="20">
        <v>2.2468768015965887E-3</v>
      </c>
      <c r="C161" s="20">
        <v>1.0603047194886164</v>
      </c>
      <c r="D161" s="20">
        <v>-2.9531946896913065E-2</v>
      </c>
      <c r="E161" s="20">
        <v>0.89751620661564291</v>
      </c>
      <c r="F161" s="20">
        <v>1.4062415071789529E-2</v>
      </c>
      <c r="G161" s="20">
        <v>0.77752037378623007</v>
      </c>
      <c r="H161">
        <v>0.55000000000000004</v>
      </c>
    </row>
    <row r="162" spans="1:8" x14ac:dyDescent="0.25">
      <c r="A162" s="18">
        <v>208825</v>
      </c>
      <c r="B162" s="20">
        <v>5.1564168443520226E-4</v>
      </c>
      <c r="C162" s="20">
        <v>0.92925248582151743</v>
      </c>
      <c r="D162" s="20">
        <v>5.7822826926373048E-2</v>
      </c>
      <c r="E162" s="20">
        <v>0.46019164505640286</v>
      </c>
      <c r="F162" s="20">
        <v>6.0723313515879855E-3</v>
      </c>
      <c r="G162" s="20">
        <v>0.20616192418103654</v>
      </c>
      <c r="H162">
        <v>0.5</v>
      </c>
    </row>
    <row r="163" spans="1:8" x14ac:dyDescent="0.25">
      <c r="A163" s="18">
        <v>-71900</v>
      </c>
      <c r="B163" s="20">
        <v>1.2717933151027848E-3</v>
      </c>
      <c r="C163" s="20">
        <v>1.0119611760402407</v>
      </c>
      <c r="D163" s="20">
        <v>-1.4336717450018395E-2</v>
      </c>
      <c r="E163" s="20">
        <v>0.70316971405160256</v>
      </c>
      <c r="F163" s="20">
        <v>3.6362222450422176E-3</v>
      </c>
      <c r="G163" s="20">
        <v>5.1861513326540276</v>
      </c>
      <c r="H163">
        <v>0.4</v>
      </c>
    </row>
    <row r="164" spans="1:8" x14ac:dyDescent="0.25">
      <c r="A164" s="18">
        <v>-841551</v>
      </c>
      <c r="B164" s="20">
        <v>3.8735488541488043E-3</v>
      </c>
      <c r="C164" s="20">
        <v>1.1117677145133966</v>
      </c>
      <c r="D164" s="20">
        <v>-0.13601892609261915</v>
      </c>
      <c r="E164" s="20">
        <v>0.49216170422636046</v>
      </c>
      <c r="F164" s="20">
        <v>5.107892110798521E-2</v>
      </c>
      <c r="G164" s="20">
        <v>1.4952603451604396</v>
      </c>
      <c r="H164">
        <v>0.25</v>
      </c>
    </row>
    <row r="165" spans="1:8" x14ac:dyDescent="0.25">
      <c r="A165" s="18">
        <v>-61684</v>
      </c>
      <c r="B165" s="20">
        <v>6.3165280207844372E-4</v>
      </c>
      <c r="C165" s="20">
        <v>1.0279362396844132</v>
      </c>
      <c r="D165" s="20">
        <v>-2.4575191104740178E-2</v>
      </c>
      <c r="E165" s="20">
        <v>0.3066937761597342</v>
      </c>
      <c r="F165" s="20">
        <v>1.1672458805957424E-2</v>
      </c>
      <c r="G165" s="20">
        <v>1.2837690990897541</v>
      </c>
      <c r="H165">
        <v>0.2</v>
      </c>
    </row>
    <row r="166" spans="1:8" x14ac:dyDescent="0.25">
      <c r="A166" s="18">
        <v>-1323078</v>
      </c>
      <c r="B166" s="20">
        <v>0.30229660507466088</v>
      </c>
      <c r="C166" s="20">
        <v>1.2457822130743457</v>
      </c>
      <c r="D166" s="20">
        <v>-0.17053995981010986</v>
      </c>
      <c r="E166" s="20">
        <v>0.92960688723197704</v>
      </c>
      <c r="F166" s="20">
        <v>2.0822951804355925E-2</v>
      </c>
      <c r="G166" s="20">
        <v>0.81239755068948538</v>
      </c>
      <c r="H166">
        <v>0.65</v>
      </c>
    </row>
    <row r="167" spans="1:8" x14ac:dyDescent="0.25">
      <c r="A167" s="18">
        <v>-1911757</v>
      </c>
      <c r="B167" s="20">
        <v>1.9152344610133933E-3</v>
      </c>
      <c r="C167" s="20">
        <v>1.1943684075504279</v>
      </c>
      <c r="D167" s="20">
        <v>-0.18174821991021523</v>
      </c>
      <c r="E167" s="20">
        <v>0.60412194903285277</v>
      </c>
      <c r="F167" s="20">
        <v>1.8988923642830381E-2</v>
      </c>
      <c r="G167" s="20">
        <v>0.69164155303553587</v>
      </c>
      <c r="H167">
        <v>0.47499999999999998</v>
      </c>
    </row>
    <row r="168" spans="1:8" x14ac:dyDescent="0.25">
      <c r="A168" s="18">
        <v>-1842254</v>
      </c>
      <c r="B168" s="20">
        <v>1.0100008949163908E-3</v>
      </c>
      <c r="C168" s="20">
        <v>1.2569734405021118</v>
      </c>
      <c r="D168" s="20">
        <v>-0.22651012982823013</v>
      </c>
      <c r="E168" s="20">
        <v>0.87396421555685289</v>
      </c>
      <c r="F168" s="20">
        <v>6.5617404596070824E-3</v>
      </c>
      <c r="G168" s="20">
        <v>1.3165870992518767</v>
      </c>
      <c r="H168">
        <v>0.4</v>
      </c>
    </row>
    <row r="169" spans="1:8" x14ac:dyDescent="0.25">
      <c r="A169" s="18">
        <v>-583349</v>
      </c>
      <c r="B169" s="20">
        <v>8.1172627671319069E-4</v>
      </c>
      <c r="C169" s="20">
        <v>1.1600999588755969</v>
      </c>
      <c r="D169" s="20">
        <v>-0.15891612668417057</v>
      </c>
      <c r="E169" s="20">
        <v>0.40066620561867317</v>
      </c>
      <c r="F169" s="20">
        <v>5.2355373409269594E-2</v>
      </c>
      <c r="G169" s="20">
        <v>1.2420833410014223</v>
      </c>
      <c r="H169">
        <v>0.15</v>
      </c>
    </row>
    <row r="170" spans="1:8" x14ac:dyDescent="0.25">
      <c r="A170" s="18">
        <v>448033.75</v>
      </c>
      <c r="B170" s="20">
        <v>6.3477635445095295E-4</v>
      </c>
      <c r="C170" s="20">
        <v>0.90099834532071321</v>
      </c>
      <c r="D170" s="20">
        <v>5.2697094044759515E-2</v>
      </c>
      <c r="E170" s="20">
        <v>0.84113724699893044</v>
      </c>
      <c r="F170" s="20">
        <v>9.1800126510546039E-3</v>
      </c>
      <c r="G170" s="20">
        <v>1.5792260858932279</v>
      </c>
      <c r="H170">
        <v>0.5</v>
      </c>
    </row>
    <row r="171" spans="1:8" x14ac:dyDescent="0.25">
      <c r="A171" s="18">
        <v>-38463</v>
      </c>
      <c r="B171" s="20">
        <v>4.9020661155267051E-5</v>
      </c>
      <c r="C171" s="20">
        <v>1.1702520383501978</v>
      </c>
      <c r="D171" s="20">
        <v>-8.4134289376632351E-2</v>
      </c>
      <c r="E171" s="20">
        <v>0.7502096396495449</v>
      </c>
      <c r="F171" s="20">
        <v>6.7219060201854051E-3</v>
      </c>
      <c r="G171" s="20">
        <v>0.92291301033716044</v>
      </c>
      <c r="H171">
        <v>0.5</v>
      </c>
    </row>
    <row r="172" spans="1:8" x14ac:dyDescent="0.25">
      <c r="A172" s="18">
        <v>-174029</v>
      </c>
      <c r="B172" s="20">
        <v>2.5111216763895708E-4</v>
      </c>
      <c r="C172" s="20">
        <v>1.2309120984743485</v>
      </c>
      <c r="D172" s="20">
        <v>-0.19242034406542971</v>
      </c>
      <c r="E172" s="20">
        <v>0.92709211046941919</v>
      </c>
      <c r="F172" s="20">
        <v>4.3010942912647981E-2</v>
      </c>
      <c r="G172" s="20">
        <v>0.47344450103214408</v>
      </c>
      <c r="H172">
        <v>0.5</v>
      </c>
    </row>
    <row r="173" spans="1:8" x14ac:dyDescent="0.25">
      <c r="A173" s="18">
        <v>-1716709</v>
      </c>
      <c r="B173" s="20">
        <v>1.679025021555863E-3</v>
      </c>
      <c r="C173" s="20">
        <v>1.2606208463154327</v>
      </c>
      <c r="D173" s="20">
        <v>-0.20021877346438127</v>
      </c>
      <c r="E173" s="20">
        <v>0.61699575228164916</v>
      </c>
      <c r="F173" s="20">
        <v>3.5100906607126572E-2</v>
      </c>
      <c r="G173" s="20">
        <v>0.92512634746174305</v>
      </c>
      <c r="H173">
        <v>0.47499999999999998</v>
      </c>
    </row>
    <row r="174" spans="1:8" x14ac:dyDescent="0.25">
      <c r="A174" s="18">
        <v>-1497555</v>
      </c>
      <c r="B174" s="20">
        <v>1.7529785952414558E-3</v>
      </c>
      <c r="C174" s="20">
        <v>1.2537828434808678</v>
      </c>
      <c r="D174" s="20">
        <v>-0.26204377186388433</v>
      </c>
      <c r="E174" s="20">
        <v>0.36209634687119108</v>
      </c>
      <c r="F174" s="20">
        <v>2.5674971968033058E-2</v>
      </c>
      <c r="G174" s="20">
        <v>1.3362565148100012</v>
      </c>
      <c r="H174">
        <v>0.25</v>
      </c>
    </row>
    <row r="175" spans="1:8" x14ac:dyDescent="0.25">
      <c r="A175" s="18">
        <v>-157075</v>
      </c>
      <c r="B175" s="20">
        <v>2.9145630840100471E-4</v>
      </c>
      <c r="C175" s="20">
        <v>1.0348221148780177</v>
      </c>
      <c r="D175" s="20">
        <v>-4.3997354696687856E-2</v>
      </c>
      <c r="E175" s="20">
        <v>0.74556459048465129</v>
      </c>
      <c r="F175" s="20">
        <v>8.1020396901936381E-2</v>
      </c>
      <c r="G175" s="20">
        <v>1.5686458833188757</v>
      </c>
      <c r="H175">
        <v>0.3</v>
      </c>
    </row>
    <row r="176" spans="1:8" x14ac:dyDescent="0.25">
      <c r="A176" s="18">
        <v>-608405</v>
      </c>
      <c r="B176" s="20">
        <v>2.8171635532760256E-2</v>
      </c>
      <c r="C176" s="20">
        <v>1.1168755347255479</v>
      </c>
      <c r="D176" s="20">
        <v>-5.0973635352154212E-2</v>
      </c>
      <c r="E176" s="20">
        <v>0.99573049084255438</v>
      </c>
      <c r="F176" s="20">
        <v>5.2028874768760558E-5</v>
      </c>
      <c r="G176" s="20">
        <v>0.99446460571123008</v>
      </c>
      <c r="H176">
        <v>0.7</v>
      </c>
    </row>
    <row r="177" spans="1:8" x14ac:dyDescent="0.25">
      <c r="A177" s="18">
        <v>-798096</v>
      </c>
      <c r="B177" s="20">
        <v>3.3447292132714524E-3</v>
      </c>
      <c r="C177" s="20">
        <v>1.1095591917053711</v>
      </c>
      <c r="D177" s="20">
        <v>-0.10846878975351462</v>
      </c>
      <c r="E177" s="20">
        <v>0.48704281072309158</v>
      </c>
      <c r="F177" s="20">
        <v>3.0760929838104661E-2</v>
      </c>
      <c r="G177" s="20">
        <v>1.6324139831661582</v>
      </c>
      <c r="H177">
        <v>0.3</v>
      </c>
    </row>
    <row r="178" spans="1:8" x14ac:dyDescent="0.25">
      <c r="A178" s="18">
        <v>722332.5</v>
      </c>
      <c r="B178" s="20">
        <v>2.4888712560439718E-3</v>
      </c>
      <c r="C178" s="20">
        <v>0.91071566660400727</v>
      </c>
      <c r="D178" s="20">
        <v>8.9070209519516011E-2</v>
      </c>
      <c r="E178" s="20">
        <v>0.40963387672036217</v>
      </c>
      <c r="F178" s="20">
        <v>5.2526370279139867E-2</v>
      </c>
      <c r="G178" s="20">
        <v>0.65004307633582326</v>
      </c>
      <c r="H178">
        <v>0.5</v>
      </c>
    </row>
    <row r="179" spans="1:8" x14ac:dyDescent="0.25">
      <c r="A179" s="18">
        <v>-143360</v>
      </c>
      <c r="B179" s="20">
        <v>1.0669491269032568E-3</v>
      </c>
      <c r="C179" s="20">
        <v>1.0718396713274307</v>
      </c>
      <c r="D179" s="20">
        <v>-4.475089987204664E-2</v>
      </c>
      <c r="E179" s="20">
        <v>0.60576391796205342</v>
      </c>
      <c r="F179" s="20">
        <v>1.1795183472134168E-2</v>
      </c>
      <c r="G179" s="20">
        <v>0.77259327311065407</v>
      </c>
      <c r="H179">
        <v>0.47499999999999998</v>
      </c>
    </row>
    <row r="180" spans="1:8" x14ac:dyDescent="0.25">
      <c r="A180" s="18">
        <v>-31688</v>
      </c>
      <c r="B180" s="20">
        <v>4.0422825939152878E-4</v>
      </c>
      <c r="C180" s="20">
        <v>1.0750185947574629</v>
      </c>
      <c r="D180" s="20">
        <v>-9.4635961545927766E-2</v>
      </c>
      <c r="E180" s="20">
        <v>0.55841920673489842</v>
      </c>
      <c r="F180" s="20">
        <v>2.014388918919726E-2</v>
      </c>
      <c r="G180" s="20">
        <v>0.71957589132158395</v>
      </c>
      <c r="H180">
        <v>0.42499999999999999</v>
      </c>
    </row>
    <row r="181" spans="1:8" x14ac:dyDescent="0.25">
      <c r="A181" s="18">
        <v>215392.5</v>
      </c>
      <c r="B181" s="20">
        <v>7.5801189497943209E-4</v>
      </c>
      <c r="C181" s="20">
        <v>0.93347434827265063</v>
      </c>
      <c r="D181" s="20">
        <v>4.5340482250919682E-2</v>
      </c>
      <c r="E181" s="20">
        <v>0.92730524037916295</v>
      </c>
      <c r="F181" s="20">
        <v>3.5310603643026205E-2</v>
      </c>
      <c r="G181" s="20">
        <v>0.22116619187821804</v>
      </c>
      <c r="H181">
        <v>0.65</v>
      </c>
    </row>
    <row r="182" spans="1:8" x14ac:dyDescent="0.25">
      <c r="A182" s="18">
        <v>721748.75</v>
      </c>
      <c r="B182" s="20">
        <v>1.3352655202897691E-3</v>
      </c>
      <c r="C182" s="20">
        <v>0.90066843193471768</v>
      </c>
      <c r="D182" s="20">
        <v>9.368477830969392E-2</v>
      </c>
      <c r="E182" s="20">
        <v>0.85386223492521185</v>
      </c>
      <c r="F182" s="20">
        <v>3.982989125277956E-2</v>
      </c>
      <c r="G182" s="20">
        <v>0.89852979905403019</v>
      </c>
      <c r="H182">
        <v>0.7</v>
      </c>
    </row>
    <row r="183" spans="1:8" x14ac:dyDescent="0.25">
      <c r="A183" s="18">
        <v>606341.25</v>
      </c>
      <c r="B183" s="20">
        <v>1.311127499267791E-3</v>
      </c>
      <c r="C183" s="20">
        <v>0.94234989286735138</v>
      </c>
      <c r="D183" s="20">
        <v>8.7767335257820545E-2</v>
      </c>
      <c r="E183" s="20">
        <v>0.24357558369937504</v>
      </c>
      <c r="F183" s="20">
        <v>9.5841257742085226E-3</v>
      </c>
      <c r="G183" s="20">
        <v>1.3850451552328304</v>
      </c>
      <c r="H183">
        <v>0.4</v>
      </c>
    </row>
    <row r="184" spans="1:8" x14ac:dyDescent="0.25">
      <c r="A184" s="18">
        <v>1248100</v>
      </c>
      <c r="B184" s="20">
        <v>4.2066261634393955E-3</v>
      </c>
      <c r="C184" s="20">
        <v>0.90204909989429616</v>
      </c>
      <c r="D184" s="20">
        <v>6.4634787042074232E-2</v>
      </c>
      <c r="E184" s="20">
        <v>0.58213907111393182</v>
      </c>
      <c r="F184" s="20">
        <v>3.4365551382998529E-4</v>
      </c>
      <c r="G184" s="20">
        <v>0.48244822984433994</v>
      </c>
      <c r="H184">
        <v>0.72499999999999998</v>
      </c>
    </row>
    <row r="185" spans="1:8" x14ac:dyDescent="0.25">
      <c r="A185" s="18">
        <v>624270</v>
      </c>
      <c r="B185" s="20">
        <v>5.9845223256322711E-4</v>
      </c>
      <c r="C185" s="20">
        <v>0.8726152257013049</v>
      </c>
      <c r="D185" s="20">
        <v>0.12049688098242781</v>
      </c>
      <c r="E185" s="20">
        <v>0.45878272872928699</v>
      </c>
      <c r="F185" s="20">
        <v>3.0098452014535211E-2</v>
      </c>
      <c r="G185" s="20">
        <v>0.54938684318327746</v>
      </c>
      <c r="H185">
        <v>0.5</v>
      </c>
    </row>
    <row r="186" spans="1:8" x14ac:dyDescent="0.25">
      <c r="A186" s="18">
        <v>-1507606</v>
      </c>
      <c r="B186" s="20">
        <v>1.6653363859128712E-3</v>
      </c>
      <c r="C186" s="20">
        <v>1.1519132158329168</v>
      </c>
      <c r="D186" s="20">
        <v>-0.16105058919006168</v>
      </c>
      <c r="E186" s="20">
        <v>0.46211520783894677</v>
      </c>
      <c r="F186" s="20">
        <v>4.73804760160456E-2</v>
      </c>
      <c r="G186" s="20">
        <v>0.8673490456563987</v>
      </c>
      <c r="H186">
        <v>0.4</v>
      </c>
    </row>
    <row r="187" spans="1:8" x14ac:dyDescent="0.25">
      <c r="A187" s="18">
        <v>-60337</v>
      </c>
      <c r="B187" s="20">
        <v>1.9239184314298597E-4</v>
      </c>
      <c r="C187" s="20">
        <v>1.0615765092448093</v>
      </c>
      <c r="D187" s="20">
        <v>-5.4492908073642238E-2</v>
      </c>
      <c r="E187" s="20">
        <v>0.90724025649471429</v>
      </c>
      <c r="F187" s="20">
        <v>2.2725774331787456E-2</v>
      </c>
      <c r="G187" s="20">
        <v>2.0787698347380861</v>
      </c>
      <c r="H187">
        <v>0.35</v>
      </c>
    </row>
    <row r="188" spans="1:8" x14ac:dyDescent="0.25">
      <c r="A188" s="18">
        <v>-270119</v>
      </c>
      <c r="B188" s="20">
        <v>6.8933251820586566E-4</v>
      </c>
      <c r="C188" s="20">
        <v>1.0821577797839905</v>
      </c>
      <c r="D188" s="20">
        <v>-5.8300994133618812E-2</v>
      </c>
      <c r="E188" s="20">
        <v>0.74300999568612291</v>
      </c>
      <c r="F188" s="20">
        <v>4.4727811136195873E-2</v>
      </c>
      <c r="G188" s="20">
        <v>2.2914353485507633</v>
      </c>
      <c r="H188">
        <v>0.35</v>
      </c>
    </row>
    <row r="189" spans="1:8" x14ac:dyDescent="0.25">
      <c r="A189" s="18">
        <v>-30284</v>
      </c>
      <c r="B189" s="20">
        <v>2.1079425953043344E-5</v>
      </c>
      <c r="C189" s="20">
        <v>1.1633120894842948</v>
      </c>
      <c r="D189" s="20">
        <v>-0.14568510580979732</v>
      </c>
      <c r="E189" s="20">
        <v>0.44606025492468132</v>
      </c>
      <c r="F189" s="20">
        <v>3.5175323394572647E-2</v>
      </c>
      <c r="G189" s="20">
        <v>1.3106701561774823</v>
      </c>
      <c r="H189">
        <v>0.2</v>
      </c>
    </row>
    <row r="190" spans="1:8" x14ac:dyDescent="0.25">
      <c r="A190" s="18">
        <v>-199826</v>
      </c>
      <c r="B190" s="20">
        <v>5.6396924442636831E-3</v>
      </c>
      <c r="C190" s="20">
        <v>1.0956804548133467</v>
      </c>
      <c r="D190" s="20">
        <v>-4.0904540038348647E-2</v>
      </c>
      <c r="E190" s="20">
        <v>0.81731578569610919</v>
      </c>
      <c r="F190" s="20">
        <v>1.7246041547300518E-2</v>
      </c>
      <c r="G190" s="20">
        <v>0.94107862651780028</v>
      </c>
      <c r="H190">
        <v>0.65</v>
      </c>
    </row>
    <row r="191" spans="1:8" x14ac:dyDescent="0.25">
      <c r="A191" s="18">
        <v>-543758</v>
      </c>
      <c r="B191" s="20">
        <v>4.0254351547406048E-3</v>
      </c>
      <c r="C191" s="20">
        <v>1.0693444845803934</v>
      </c>
      <c r="D191" s="20">
        <v>-3.3562822506974795E-2</v>
      </c>
      <c r="E191" s="20">
        <v>0.82523293912702422</v>
      </c>
      <c r="F191" s="20">
        <v>3.69571389773597E-3</v>
      </c>
      <c r="G191" s="20">
        <v>0.89806902318376269</v>
      </c>
      <c r="H191">
        <v>0.6</v>
      </c>
    </row>
    <row r="192" spans="1:8" x14ac:dyDescent="0.25">
      <c r="A192" s="18">
        <v>18764.55</v>
      </c>
      <c r="B192" s="20">
        <v>5.0788004736706594E-5</v>
      </c>
      <c r="C192" s="20">
        <v>0.98463472106859795</v>
      </c>
      <c r="D192" s="20">
        <v>2.9926843738736296E-2</v>
      </c>
      <c r="E192" s="20">
        <v>0.31009349085269355</v>
      </c>
      <c r="F192" s="20">
        <v>4.4512562717897849E-3</v>
      </c>
      <c r="G192" s="20">
        <v>-0.54238725762647977</v>
      </c>
      <c r="H192">
        <v>0.5</v>
      </c>
    </row>
    <row r="193" spans="1:8" x14ac:dyDescent="0.25">
      <c r="A193" s="18">
        <v>-115831</v>
      </c>
      <c r="B193" s="20">
        <v>1.1554411645944836E-4</v>
      </c>
      <c r="C193" s="20">
        <v>1.0867657277969804</v>
      </c>
      <c r="D193" s="20">
        <v>-0.1295175031056873</v>
      </c>
      <c r="E193" s="20">
        <v>0.37295186051195822</v>
      </c>
      <c r="F193" s="20">
        <v>9.0116925911886817E-2</v>
      </c>
      <c r="G193" s="20">
        <v>1.1749082330432126</v>
      </c>
      <c r="H193">
        <v>0.15</v>
      </c>
    </row>
    <row r="194" spans="1:8" x14ac:dyDescent="0.25">
      <c r="A194" s="18">
        <v>1693771.25</v>
      </c>
      <c r="B194" s="20">
        <v>3.2749604129243171E-3</v>
      </c>
      <c r="C194" s="20">
        <v>0.82935616923362576</v>
      </c>
      <c r="D194" s="20">
        <v>0.14183842823136755</v>
      </c>
      <c r="E194" s="20">
        <v>0.59987036649771175</v>
      </c>
      <c r="F194" s="20">
        <v>1.6547260096968954E-4</v>
      </c>
      <c r="G194" s="20">
        <v>1.2158200765043128</v>
      </c>
      <c r="H194">
        <v>0.57499999999999996</v>
      </c>
    </row>
    <row r="195" spans="1:8" x14ac:dyDescent="0.25">
      <c r="A195" s="18">
        <v>1468193.75</v>
      </c>
      <c r="B195" s="20">
        <v>5.7426338699661222E-3</v>
      </c>
      <c r="C195" s="20">
        <v>0.87445909511006237</v>
      </c>
      <c r="D195" s="20">
        <v>9.3190959765606152E-2</v>
      </c>
      <c r="E195" s="20">
        <v>0.75428067164755763</v>
      </c>
      <c r="F195" s="20">
        <v>2.7040282633477797E-2</v>
      </c>
      <c r="G195" s="20">
        <v>0.27765246205100558</v>
      </c>
      <c r="H195">
        <v>0.8</v>
      </c>
    </row>
    <row r="196" spans="1:8" x14ac:dyDescent="0.25">
      <c r="A196" s="18">
        <v>343921.25</v>
      </c>
      <c r="B196" s="20">
        <v>3.1937314668897181E-4</v>
      </c>
      <c r="C196" s="20">
        <v>0.81597562944213098</v>
      </c>
      <c r="D196" s="20">
        <v>0.21298084157842556</v>
      </c>
      <c r="E196" s="20">
        <v>0.60980891156896744</v>
      </c>
      <c r="F196" s="20">
        <v>7.9073618450345828E-2</v>
      </c>
      <c r="G196" s="20">
        <v>0.72423977994705491</v>
      </c>
      <c r="H196">
        <v>0.52500000000000002</v>
      </c>
    </row>
    <row r="197" spans="1:8" x14ac:dyDescent="0.25">
      <c r="A197" s="18">
        <v>-80267</v>
      </c>
      <c r="B197" s="20">
        <v>3.3144715100730433E-4</v>
      </c>
      <c r="C197" s="20">
        <v>1.0682644279446507</v>
      </c>
      <c r="D197" s="20">
        <v>-3.6715792131539575E-2</v>
      </c>
      <c r="E197" s="20">
        <v>0.92080399360120768</v>
      </c>
      <c r="F197" s="20">
        <v>5.1926862079864751E-2</v>
      </c>
      <c r="G197" s="20">
        <v>1.3246323923803687</v>
      </c>
      <c r="H197">
        <v>0.3</v>
      </c>
    </row>
    <row r="198" spans="1:8" x14ac:dyDescent="0.25">
      <c r="A198" s="18">
        <v>386277.5</v>
      </c>
      <c r="B198" s="20">
        <v>2.6999814019525591E-3</v>
      </c>
      <c r="C198" s="20">
        <v>0.96807174824504683</v>
      </c>
      <c r="D198" s="20">
        <v>1.0285061094371878E-2</v>
      </c>
      <c r="E198" s="20">
        <v>0.94788415953932759</v>
      </c>
      <c r="F198" s="20">
        <v>5.2791556929438345E-4</v>
      </c>
      <c r="G198" s="20">
        <v>0.88705856168341202</v>
      </c>
      <c r="H198">
        <v>0.7</v>
      </c>
    </row>
    <row r="199" spans="1:8" x14ac:dyDescent="0.25">
      <c r="A199" s="18">
        <v>-1237386</v>
      </c>
      <c r="B199" s="20">
        <v>6.069123181257905E-4</v>
      </c>
      <c r="C199" s="20">
        <v>1.1439220440919389</v>
      </c>
      <c r="D199" s="20">
        <v>-0.18115527542750362</v>
      </c>
      <c r="E199" s="20">
        <v>0.9494268364605708</v>
      </c>
      <c r="F199" s="20">
        <v>0.11359152815002414</v>
      </c>
      <c r="G199" s="20">
        <v>1.5172488461790157</v>
      </c>
      <c r="H199">
        <v>0.3</v>
      </c>
    </row>
    <row r="200" spans="1:8" x14ac:dyDescent="0.25">
      <c r="A200" s="18">
        <v>-2526775</v>
      </c>
      <c r="B200" s="20">
        <v>4.9496436801890658E-3</v>
      </c>
      <c r="C200" s="20">
        <v>1.2753032109534923</v>
      </c>
      <c r="D200" s="20">
        <v>-0.31481169544246135</v>
      </c>
      <c r="E200" s="20">
        <v>0.64036632088788759</v>
      </c>
      <c r="F200" s="20">
        <v>3.3029515695015867E-2</v>
      </c>
      <c r="G200" s="20">
        <v>0.51465029753459934</v>
      </c>
      <c r="H200">
        <v>0.52500000000000002</v>
      </c>
    </row>
    <row r="201" spans="1:8" x14ac:dyDescent="0.25">
      <c r="A201" s="18">
        <v>586666.25</v>
      </c>
      <c r="B201" s="20">
        <v>2.9539338753365911E-3</v>
      </c>
      <c r="C201" s="20">
        <v>0.94762024050922866</v>
      </c>
      <c r="D201" s="20">
        <v>2.6540112913482624E-2</v>
      </c>
      <c r="E201" s="20">
        <v>0.84504628931066694</v>
      </c>
      <c r="F201" s="20">
        <v>1.3302894214940414E-2</v>
      </c>
      <c r="G201" s="20">
        <v>0.68566812150511125</v>
      </c>
      <c r="H201">
        <v>0.7</v>
      </c>
    </row>
    <row r="202" spans="1:8" x14ac:dyDescent="0.25">
      <c r="A202" s="18">
        <v>-641612</v>
      </c>
      <c r="B202" s="20">
        <v>8.7791023151105249E-3</v>
      </c>
      <c r="C202" s="20">
        <v>1.1200467224336423</v>
      </c>
      <c r="D202" s="20">
        <v>-6.1572134830856849E-2</v>
      </c>
      <c r="E202" s="20">
        <v>0.71442445925529097</v>
      </c>
      <c r="F202" s="20">
        <v>3.671611314359119E-3</v>
      </c>
      <c r="G202" s="20">
        <v>1.5007431047020048</v>
      </c>
      <c r="H202">
        <v>0.5</v>
      </c>
    </row>
    <row r="203" spans="1:8" x14ac:dyDescent="0.25">
      <c r="A203" s="18">
        <v>-2370156</v>
      </c>
      <c r="B203" s="20">
        <v>2.6350267748971984E-3</v>
      </c>
      <c r="C203" s="20">
        <v>1.2406147563466567</v>
      </c>
      <c r="D203" s="20">
        <v>-0.20279010552091808</v>
      </c>
      <c r="E203" s="20">
        <v>0.89974418130048528</v>
      </c>
      <c r="F203" s="20">
        <v>2.0004911133299622E-2</v>
      </c>
      <c r="G203" s="20">
        <v>0.7852327402572129</v>
      </c>
      <c r="H203">
        <v>0.55000000000000004</v>
      </c>
    </row>
    <row r="204" spans="1:8" x14ac:dyDescent="0.25">
      <c r="A204" s="18">
        <v>-69973</v>
      </c>
      <c r="B204" s="20">
        <v>4.1368171442274758E-4</v>
      </c>
      <c r="C204" s="20">
        <v>1.0868999087914435</v>
      </c>
      <c r="D204" s="20">
        <v>-0.11110123163542195</v>
      </c>
      <c r="E204" s="20">
        <v>0.38519329907153083</v>
      </c>
      <c r="F204" s="20">
        <v>6.2710677613831409E-2</v>
      </c>
      <c r="G204" s="20">
        <v>0.65572961009077746</v>
      </c>
      <c r="H204">
        <v>0.3</v>
      </c>
    </row>
    <row r="205" spans="1:8" x14ac:dyDescent="0.25">
      <c r="A205" s="18">
        <v>-47865</v>
      </c>
      <c r="B205" s="20">
        <v>9.6902496513896798E-5</v>
      </c>
      <c r="C205" s="20">
        <v>1.0230489773687816</v>
      </c>
      <c r="D205" s="20">
        <v>-3.3197533124708703E-2</v>
      </c>
      <c r="E205" s="20">
        <v>0.63964764510394656</v>
      </c>
      <c r="F205" s="20">
        <v>2.686527620569501E-2</v>
      </c>
      <c r="G205" s="20">
        <v>1.7207583972011706</v>
      </c>
      <c r="H205">
        <v>0.27500000000000002</v>
      </c>
    </row>
    <row r="206" spans="1:8" x14ac:dyDescent="0.25">
      <c r="A206" s="18">
        <v>-55571</v>
      </c>
      <c r="B206" s="20">
        <v>5.1342561319131215E-4</v>
      </c>
      <c r="C206" s="20">
        <v>1.0139202000973788</v>
      </c>
      <c r="D206" s="20">
        <v>-1.4196353209743577E-2</v>
      </c>
      <c r="E206" s="20">
        <v>0.4210372788628628</v>
      </c>
      <c r="F206" s="20">
        <v>1.4206571743302263E-2</v>
      </c>
      <c r="G206" s="20">
        <v>4.8608982773272524</v>
      </c>
      <c r="H206">
        <v>0.2</v>
      </c>
    </row>
    <row r="207" spans="1:8" x14ac:dyDescent="0.25">
      <c r="A207" s="18">
        <v>-978748</v>
      </c>
      <c r="B207" s="20">
        <v>3.7618660608472257E-2</v>
      </c>
      <c r="C207" s="20">
        <v>1.1240219810019061</v>
      </c>
      <c r="D207" s="20">
        <v>-0.11338400899335414</v>
      </c>
      <c r="E207" s="20">
        <v>0.66500930857968621</v>
      </c>
      <c r="F207" s="20">
        <v>4.1419335526065804E-2</v>
      </c>
      <c r="G207" s="20">
        <v>1.2822271752964787</v>
      </c>
      <c r="H207">
        <v>0.42499999999999999</v>
      </c>
    </row>
    <row r="208" spans="1:8" x14ac:dyDescent="0.25">
      <c r="A208" s="18">
        <v>-98705</v>
      </c>
      <c r="B208" s="20">
        <v>7.8297894429964156E-4</v>
      </c>
      <c r="C208" s="20">
        <v>1.0885295198756888</v>
      </c>
      <c r="D208" s="20">
        <v>-3.9840275630691681E-2</v>
      </c>
      <c r="E208" s="20">
        <v>0.71295892350459567</v>
      </c>
      <c r="F208" s="20">
        <v>2.9333389303326959E-2</v>
      </c>
      <c r="G208" s="20">
        <v>0.55416589506320124</v>
      </c>
      <c r="H208">
        <v>0.5</v>
      </c>
    </row>
    <row r="209" spans="1:8" x14ac:dyDescent="0.25">
      <c r="A209" s="18">
        <v>1810621.25</v>
      </c>
      <c r="B209" s="20">
        <v>5.5805707708021426E-3</v>
      </c>
      <c r="C209" s="20">
        <v>0.83542134696058401</v>
      </c>
      <c r="D209" s="20">
        <v>8.9153511475117797E-2</v>
      </c>
      <c r="E209" s="20">
        <v>0.97992774629437152</v>
      </c>
      <c r="F209" s="20">
        <v>2.0121542984649833E-2</v>
      </c>
      <c r="G209" s="20">
        <v>0.61357076843985914</v>
      </c>
      <c r="H209">
        <v>0.8</v>
      </c>
    </row>
    <row r="210" spans="1:8" x14ac:dyDescent="0.25">
      <c r="A210" s="18">
        <v>-2298692</v>
      </c>
      <c r="B210" s="20">
        <v>2.9596147088504828E-3</v>
      </c>
      <c r="C210" s="20">
        <v>1.303633620026468</v>
      </c>
      <c r="D210" s="20">
        <v>-0.13189370341503001</v>
      </c>
      <c r="E210" s="20">
        <v>0.95464894304221704</v>
      </c>
      <c r="F210" s="20">
        <v>1.9294749801014071E-2</v>
      </c>
      <c r="G210" s="20">
        <v>0.97632886951506259</v>
      </c>
      <c r="H210">
        <v>0.55000000000000004</v>
      </c>
    </row>
    <row r="211" spans="1:8" x14ac:dyDescent="0.25">
      <c r="A211" s="18">
        <v>1313191.25</v>
      </c>
      <c r="B211" s="20">
        <v>2.3803465141797016E-3</v>
      </c>
      <c r="C211" s="20">
        <v>0.85051813596942827</v>
      </c>
      <c r="D211" s="20">
        <v>0.11819001123946615</v>
      </c>
      <c r="E211" s="20">
        <v>0.6292927759134852</v>
      </c>
      <c r="F211" s="20">
        <v>1.4416541383699966E-3</v>
      </c>
      <c r="G211" s="20">
        <v>1.0597994057382822</v>
      </c>
      <c r="H211">
        <v>0.55000000000000004</v>
      </c>
    </row>
    <row r="212" spans="1:8" x14ac:dyDescent="0.25">
      <c r="A212" s="18">
        <v>197963.75</v>
      </c>
      <c r="B212" s="20">
        <v>2.8432346721425059E-4</v>
      </c>
      <c r="C212" s="20">
        <v>0.95133551010843798</v>
      </c>
      <c r="D212" s="20">
        <v>7.2716174634525135E-2</v>
      </c>
      <c r="E212" s="20">
        <v>0.64088386995016378</v>
      </c>
      <c r="F212" s="20">
        <v>9.0010457619093626E-2</v>
      </c>
      <c r="G212" s="20">
        <v>0.9153420702900007</v>
      </c>
      <c r="H212">
        <v>0.52500000000000002</v>
      </c>
    </row>
    <row r="213" spans="1:8" x14ac:dyDescent="0.25">
      <c r="A213" s="18">
        <v>2186483.75</v>
      </c>
      <c r="B213" s="20">
        <v>2.9588802230821054E-3</v>
      </c>
      <c r="C213" s="20">
        <v>0.79646144952510656</v>
      </c>
      <c r="D213" s="20">
        <v>0.24850831392362707</v>
      </c>
      <c r="E213" s="20">
        <v>0.48974497331973083</v>
      </c>
      <c r="F213" s="20">
        <v>5.8853548126126552E-2</v>
      </c>
      <c r="G213" s="20">
        <v>0.69575212777533191</v>
      </c>
      <c r="H213">
        <v>0.5</v>
      </c>
    </row>
    <row r="214" spans="1:8" x14ac:dyDescent="0.25">
      <c r="A214" s="18">
        <v>-405332</v>
      </c>
      <c r="B214" s="20">
        <v>2.3570886789321824E-3</v>
      </c>
      <c r="C214" s="20">
        <v>1.0702636118476756</v>
      </c>
      <c r="D214" s="20">
        <v>-3.4098771960655833E-2</v>
      </c>
      <c r="E214" s="20">
        <v>0.83550265122974321</v>
      </c>
      <c r="F214" s="20">
        <v>1.0338187180496471E-2</v>
      </c>
      <c r="G214" s="20">
        <v>2.0278669137675234</v>
      </c>
      <c r="H214">
        <v>0.4</v>
      </c>
    </row>
    <row r="215" spans="1:8" x14ac:dyDescent="0.25">
      <c r="A215" s="18">
        <v>359030</v>
      </c>
      <c r="B215" s="20">
        <v>1.0394112135894053E-2</v>
      </c>
      <c r="C215" s="20">
        <v>0.95158970428048317</v>
      </c>
      <c r="D215" s="20">
        <v>3.1546944301098945E-2</v>
      </c>
      <c r="E215" s="20">
        <v>0.72311775572052783</v>
      </c>
      <c r="F215" s="20">
        <v>3.271961933840075E-2</v>
      </c>
      <c r="G215" s="20">
        <v>0.58021493123720158</v>
      </c>
      <c r="H215">
        <v>0.8</v>
      </c>
    </row>
    <row r="216" spans="1:8" x14ac:dyDescent="0.25">
      <c r="A216" s="18">
        <v>-87688</v>
      </c>
      <c r="B216" s="20">
        <v>9.723899873637262E-4</v>
      </c>
      <c r="C216" s="20">
        <v>1.0357767827876967</v>
      </c>
      <c r="D216" s="20">
        <v>-2.4284970088288085E-2</v>
      </c>
      <c r="E216" s="20">
        <v>0.48723311291664123</v>
      </c>
      <c r="F216" s="20">
        <v>3.584835796458008E-2</v>
      </c>
      <c r="G216" s="20">
        <v>0.78123272343715033</v>
      </c>
      <c r="H216">
        <v>0.35</v>
      </c>
    </row>
    <row r="217" spans="1:8" x14ac:dyDescent="0.25">
      <c r="A217" s="18">
        <v>-1586693</v>
      </c>
      <c r="B217" s="20">
        <v>1.9925812399224784E-3</v>
      </c>
      <c r="C217" s="20">
        <v>1.2183130714103791</v>
      </c>
      <c r="D217" s="20">
        <v>-0.14658464221854023</v>
      </c>
      <c r="E217" s="20">
        <v>0.88178002272956668</v>
      </c>
      <c r="F217" s="20">
        <v>5.4021487535354101E-2</v>
      </c>
      <c r="G217" s="20">
        <v>1.3337932493530431</v>
      </c>
      <c r="H217">
        <v>0.35</v>
      </c>
    </row>
    <row r="218" spans="1:8" x14ac:dyDescent="0.25">
      <c r="A218" s="18">
        <v>1439011.25</v>
      </c>
      <c r="B218" s="20">
        <v>7.5390713598496775E-3</v>
      </c>
      <c r="C218" s="20">
        <v>0.79854594405845669</v>
      </c>
      <c r="D218" s="20">
        <v>0.22353399196899443</v>
      </c>
      <c r="E218" s="20">
        <v>0.51074880866534256</v>
      </c>
      <c r="F218" s="20">
        <v>1.2536135641664919E-2</v>
      </c>
      <c r="G218" s="20">
        <v>0.60130260311671524</v>
      </c>
      <c r="H218">
        <v>0.72499999999999998</v>
      </c>
    </row>
    <row r="219" spans="1:8" x14ac:dyDescent="0.25">
      <c r="A219" s="18">
        <v>-809044</v>
      </c>
      <c r="B219" s="20">
        <v>6.0816230906518753E-3</v>
      </c>
      <c r="C219" s="20">
        <v>1.2059958059105387</v>
      </c>
      <c r="D219" s="20">
        <v>-0.23860508847078088</v>
      </c>
      <c r="E219" s="20">
        <v>0.34535791403544508</v>
      </c>
      <c r="F219" s="20">
        <v>9.6197744198584137E-2</v>
      </c>
      <c r="G219" s="20">
        <v>1.2610520331700934</v>
      </c>
      <c r="H219">
        <v>0.3</v>
      </c>
    </row>
    <row r="220" spans="1:8" x14ac:dyDescent="0.25">
      <c r="A220" s="18">
        <v>19644.3</v>
      </c>
      <c r="B220" s="20">
        <v>1.4890610129161598E-3</v>
      </c>
      <c r="C220" s="20">
        <v>0.9921756341982243</v>
      </c>
      <c r="D220" s="20">
        <v>5.0674344918210058E-3</v>
      </c>
      <c r="E220" s="20">
        <v>0.95484167652729757</v>
      </c>
      <c r="F220" s="20">
        <v>2.6602850917188024E-2</v>
      </c>
      <c r="G220" s="20">
        <v>-3.4277628743522728</v>
      </c>
      <c r="H220">
        <v>0.7</v>
      </c>
    </row>
    <row r="221" spans="1:8" x14ac:dyDescent="0.25">
      <c r="A221" s="18">
        <v>-536405</v>
      </c>
      <c r="B221" s="20">
        <v>3.238213707443711E-3</v>
      </c>
      <c r="C221" s="20">
        <v>1.0549407903121273</v>
      </c>
      <c r="D221" s="20">
        <v>-2.4547357401387151E-2</v>
      </c>
      <c r="E221" s="20">
        <v>0.87357682949938076</v>
      </c>
      <c r="F221" s="20">
        <v>4.2870525840772332E-4</v>
      </c>
      <c r="G221" s="20">
        <v>1.518905849472284</v>
      </c>
      <c r="H221">
        <v>0.5</v>
      </c>
    </row>
    <row r="222" spans="1:8" x14ac:dyDescent="0.25">
      <c r="A222" s="18">
        <v>174811.25</v>
      </c>
      <c r="B222" s="20">
        <v>1.8424181248807437E-3</v>
      </c>
      <c r="C222" s="20">
        <v>0.97200667339179014</v>
      </c>
      <c r="D222" s="20">
        <v>2.9404064396139434E-2</v>
      </c>
      <c r="E222" s="20">
        <v>0.77403155553269898</v>
      </c>
      <c r="F222" s="20">
        <v>5.4416894205501332E-2</v>
      </c>
      <c r="G222" s="20">
        <v>1.0409666905808701</v>
      </c>
      <c r="H222">
        <v>0.57499999999999996</v>
      </c>
    </row>
    <row r="223" spans="1:8" x14ac:dyDescent="0.25">
      <c r="A223" s="18">
        <v>-775794</v>
      </c>
      <c r="B223" s="20">
        <v>1.8187975711904487E-3</v>
      </c>
      <c r="C223" s="20">
        <v>1.2694428248802476</v>
      </c>
      <c r="D223" s="20">
        <v>-0.14711454713950256</v>
      </c>
      <c r="E223" s="20">
        <v>0.78253211877201212</v>
      </c>
      <c r="F223" s="20">
        <v>2.3367462478199551E-2</v>
      </c>
      <c r="G223" s="20">
        <v>0.5434923318269016</v>
      </c>
      <c r="H223">
        <v>0.55000000000000004</v>
      </c>
    </row>
    <row r="224" spans="1:8" x14ac:dyDescent="0.25">
      <c r="A224" s="18">
        <v>43651.7</v>
      </c>
      <c r="B224" s="20">
        <v>2.0392450204132946E-4</v>
      </c>
      <c r="C224" s="20">
        <v>0.89648322702832139</v>
      </c>
      <c r="D224" s="20">
        <v>0.10856174348592731</v>
      </c>
      <c r="E224" s="20">
        <v>0.93283485136019229</v>
      </c>
      <c r="F224" s="20">
        <v>1.8090432265332971E-2</v>
      </c>
      <c r="G224" s="20">
        <v>0.57057142987109366</v>
      </c>
      <c r="H224">
        <v>0.65</v>
      </c>
    </row>
    <row r="225" spans="1:8" x14ac:dyDescent="0.25">
      <c r="A225" s="18">
        <v>-99708</v>
      </c>
      <c r="B225" s="20">
        <v>3.4610226321599575E-4</v>
      </c>
      <c r="C225" s="20">
        <v>1.0613256681096115</v>
      </c>
      <c r="D225" s="20">
        <v>-4.9701788273412671E-2</v>
      </c>
      <c r="E225" s="20">
        <v>0.80577397881741764</v>
      </c>
      <c r="F225" s="20">
        <v>7.789145741167674E-3</v>
      </c>
      <c r="G225" s="20">
        <v>2.2530320071746881</v>
      </c>
      <c r="H225">
        <v>0.35</v>
      </c>
    </row>
    <row r="226" spans="1:8" x14ac:dyDescent="0.25">
      <c r="A226" s="18">
        <v>-247677</v>
      </c>
      <c r="B226" s="20">
        <v>2.6535579967171117E-4</v>
      </c>
      <c r="C226" s="20">
        <v>1.1007309019404148</v>
      </c>
      <c r="D226" s="20">
        <v>-0.11394373959712524</v>
      </c>
      <c r="E226" s="20">
        <v>0.29160524698893775</v>
      </c>
      <c r="F226" s="20">
        <v>4.1645542716078461E-2</v>
      </c>
      <c r="G226" s="20">
        <v>1.3759345424840637</v>
      </c>
      <c r="H226">
        <v>0.2</v>
      </c>
    </row>
    <row r="227" spans="1:8" x14ac:dyDescent="0.25">
      <c r="A227" s="18">
        <v>-1947036</v>
      </c>
      <c r="B227" s="20">
        <v>1.3191225983495614E-3</v>
      </c>
      <c r="C227" s="20">
        <v>1.258201182216242</v>
      </c>
      <c r="D227" s="20">
        <v>-0.31629123142229493</v>
      </c>
      <c r="E227" s="20">
        <v>0.77155857179581122</v>
      </c>
      <c r="F227" s="20">
        <v>1.4472452387840931E-2</v>
      </c>
      <c r="G227" s="20">
        <v>0.80547874423574151</v>
      </c>
      <c r="H227">
        <v>0.55000000000000004</v>
      </c>
    </row>
    <row r="228" spans="1:8" x14ac:dyDescent="0.25">
      <c r="A228" s="18">
        <v>1096470</v>
      </c>
      <c r="B228" s="20">
        <v>4.815258180995644E-3</v>
      </c>
      <c r="C228" s="20">
        <v>0.82969349289043548</v>
      </c>
      <c r="D228" s="20">
        <v>8.1402528588362832E-2</v>
      </c>
      <c r="E228" s="20">
        <v>0.82626464126541876</v>
      </c>
      <c r="F228" s="20">
        <v>1.496689354329252E-4</v>
      </c>
      <c r="G228" s="20">
        <v>1.0749995097020169</v>
      </c>
      <c r="H228">
        <v>0.72499999999999998</v>
      </c>
    </row>
    <row r="229" spans="1:8" x14ac:dyDescent="0.25">
      <c r="A229" s="18">
        <v>1148965</v>
      </c>
      <c r="B229" s="20">
        <v>1.9556025882318021E-3</v>
      </c>
      <c r="C229" s="20">
        <v>0.81677598373381211</v>
      </c>
      <c r="D229" s="20">
        <v>0.13979249489754017</v>
      </c>
      <c r="E229" s="20">
        <v>0.97706422400065807</v>
      </c>
      <c r="F229" s="20">
        <v>1.3547023235583079E-2</v>
      </c>
      <c r="G229" s="20">
        <v>0.67306467615763255</v>
      </c>
      <c r="H229">
        <v>0.7</v>
      </c>
    </row>
    <row r="230" spans="1:8" x14ac:dyDescent="0.25">
      <c r="A230" s="18">
        <v>315418.75</v>
      </c>
      <c r="B230" s="20">
        <v>1.9916458197665075E-3</v>
      </c>
      <c r="C230" s="20">
        <v>0.97289477815247483</v>
      </c>
      <c r="D230" s="20">
        <v>2.4868023609499683E-2</v>
      </c>
      <c r="E230" s="20">
        <v>0.58584014315816579</v>
      </c>
      <c r="F230" s="20">
        <v>5.4501491204307133E-2</v>
      </c>
      <c r="G230" s="20">
        <v>0.85082186681243277</v>
      </c>
      <c r="H230">
        <v>0.57499999999999996</v>
      </c>
    </row>
    <row r="231" spans="1:8" x14ac:dyDescent="0.25">
      <c r="A231" s="18">
        <v>-12137</v>
      </c>
      <c r="B231" s="20">
        <v>6.1318433525374069E-4</v>
      </c>
      <c r="C231" s="20">
        <v>1.0210886790755005</v>
      </c>
      <c r="D231" s="20">
        <v>-1.0950166232852302E-2</v>
      </c>
      <c r="E231" s="20">
        <v>0.9702963103029284</v>
      </c>
      <c r="F231" s="20">
        <v>1.3172318282907112E-4</v>
      </c>
      <c r="G231" s="20">
        <v>2.4633310286590295</v>
      </c>
      <c r="H231">
        <v>0.4</v>
      </c>
    </row>
    <row r="232" spans="1:8" x14ac:dyDescent="0.25">
      <c r="A232" s="18">
        <v>-555721</v>
      </c>
      <c r="B232" s="20">
        <v>6.0789746091593252E-4</v>
      </c>
      <c r="C232" s="20">
        <v>1.1322029219687859</v>
      </c>
      <c r="D232" s="20">
        <v>-0.16985856454305126</v>
      </c>
      <c r="E232" s="20">
        <v>0.68143657697606919</v>
      </c>
      <c r="F232" s="20">
        <v>6.7482376731875987E-2</v>
      </c>
      <c r="G232" s="20">
        <v>0.71823559355170397</v>
      </c>
      <c r="H232">
        <v>0.375</v>
      </c>
    </row>
    <row r="233" spans="1:8" x14ac:dyDescent="0.25">
      <c r="A233" s="18">
        <v>-277467</v>
      </c>
      <c r="B233" s="20">
        <v>2.5160555962419656E-3</v>
      </c>
      <c r="C233" s="20">
        <v>1.0342781833813304</v>
      </c>
      <c r="D233" s="20">
        <v>-2.2266564482411336E-2</v>
      </c>
      <c r="E233" s="20">
        <v>0.4152274028260115</v>
      </c>
      <c r="F233" s="20">
        <v>3.053931619473323E-2</v>
      </c>
      <c r="G233" s="20">
        <v>1.1137174642039529</v>
      </c>
      <c r="H233">
        <v>0.25</v>
      </c>
    </row>
    <row r="234" spans="1:8" x14ac:dyDescent="0.25">
      <c r="A234" s="18">
        <v>-986078</v>
      </c>
      <c r="B234" s="20">
        <v>8.7820113523568721E-2</v>
      </c>
      <c r="C234" s="20">
        <v>1.1537057317335548</v>
      </c>
      <c r="D234" s="20">
        <v>-6.4981901401916453E-2</v>
      </c>
      <c r="E234" s="20">
        <v>0.84001960736012249</v>
      </c>
      <c r="F234" s="20">
        <v>3.7415675188946624E-3</v>
      </c>
      <c r="G234" s="20">
        <v>0.70414151313949114</v>
      </c>
      <c r="H234">
        <v>0.65</v>
      </c>
    </row>
    <row r="235" spans="1:8" x14ac:dyDescent="0.25">
      <c r="A235" s="18">
        <v>1035618.75</v>
      </c>
      <c r="B235" s="20">
        <v>5.233560291278452E-4</v>
      </c>
      <c r="C235" s="20">
        <v>0.83677710543120265</v>
      </c>
      <c r="D235" s="20">
        <v>0.21555855630834556</v>
      </c>
      <c r="E235" s="20">
        <v>0.58745618090571461</v>
      </c>
      <c r="F235" s="20">
        <v>4.0576768969787798E-2</v>
      </c>
      <c r="G235" s="20">
        <v>0.82690585798946759</v>
      </c>
      <c r="H235">
        <v>0.57499999999999996</v>
      </c>
    </row>
    <row r="236" spans="1:8" x14ac:dyDescent="0.25">
      <c r="A236" s="18">
        <v>46810.75</v>
      </c>
      <c r="B236" s="20">
        <v>2.9542501123567823E-4</v>
      </c>
      <c r="C236" s="20">
        <v>0.97381756431286359</v>
      </c>
      <c r="D236" s="20">
        <v>3.7067046648617791E-2</v>
      </c>
      <c r="E236" s="20">
        <v>0.95807978466349497</v>
      </c>
      <c r="F236" s="20">
        <v>5.5326491229876146E-3</v>
      </c>
      <c r="G236" s="20">
        <v>-0.23857717905627476</v>
      </c>
      <c r="H236">
        <v>0.65</v>
      </c>
    </row>
    <row r="237" spans="1:8" x14ac:dyDescent="0.25">
      <c r="A237" s="18">
        <v>1720803.75</v>
      </c>
      <c r="B237" s="20">
        <v>1.8725917849219094E-3</v>
      </c>
      <c r="C237" s="20">
        <v>0.81283261322492273</v>
      </c>
      <c r="D237" s="20">
        <v>0.17051318828645914</v>
      </c>
      <c r="E237" s="20">
        <v>0.56838408012507269</v>
      </c>
      <c r="F237" s="20">
        <v>8.2904029068828402E-3</v>
      </c>
      <c r="G237" s="20">
        <v>0.69831111611669483</v>
      </c>
      <c r="H237">
        <v>0.625</v>
      </c>
    </row>
    <row r="238" spans="1:8" x14ac:dyDescent="0.25">
      <c r="A238" s="18">
        <v>130483.75</v>
      </c>
      <c r="B238" s="20">
        <v>4.1199325846647782E-3</v>
      </c>
      <c r="C238" s="20">
        <v>0.98961603503014117</v>
      </c>
      <c r="D238" s="20">
        <v>7.4471117873639017E-3</v>
      </c>
      <c r="E238" s="20">
        <v>0.81169423328196566</v>
      </c>
      <c r="F238" s="20">
        <v>4.4055922503865273E-2</v>
      </c>
      <c r="G238" s="20">
        <v>-1.9997457979336584</v>
      </c>
      <c r="H238">
        <v>0.75</v>
      </c>
    </row>
    <row r="239" spans="1:8" x14ac:dyDescent="0.25">
      <c r="A239" s="18">
        <v>-1573575</v>
      </c>
      <c r="B239" s="20">
        <v>3.3793033562224809E-3</v>
      </c>
      <c r="C239" s="20">
        <v>1.2104190996503204</v>
      </c>
      <c r="D239" s="20">
        <v>-0.24856381664620542</v>
      </c>
      <c r="E239" s="20">
        <v>0.56994319715378972</v>
      </c>
      <c r="F239" s="20">
        <v>2.568686274497415E-2</v>
      </c>
      <c r="G239" s="20">
        <v>0.77591057420554777</v>
      </c>
      <c r="H239">
        <v>0.52500000000000002</v>
      </c>
    </row>
    <row r="240" spans="1:8" x14ac:dyDescent="0.25">
      <c r="A240" s="18">
        <v>174992.5</v>
      </c>
      <c r="B240" s="20">
        <v>1.3754724132684895E-3</v>
      </c>
      <c r="C240" s="20">
        <v>0.95878526619487292</v>
      </c>
      <c r="D240" s="20">
        <v>4.2023279493201546E-2</v>
      </c>
      <c r="E240" s="20">
        <v>0.41487069824382983</v>
      </c>
      <c r="F240" s="20">
        <v>1.020489027851822E-2</v>
      </c>
      <c r="G240" s="20">
        <v>0.22786946139321201</v>
      </c>
      <c r="H240">
        <v>0.55000000000000004</v>
      </c>
    </row>
    <row r="241" spans="1:8" x14ac:dyDescent="0.25">
      <c r="A241" s="18">
        <v>958768.75</v>
      </c>
      <c r="B241" s="20">
        <v>2.5154441050345305E-3</v>
      </c>
      <c r="C241" s="20">
        <v>0.88959020713091397</v>
      </c>
      <c r="D241" s="20">
        <v>9.3742709721928635E-2</v>
      </c>
      <c r="E241" s="20">
        <v>0.56832481336569873</v>
      </c>
      <c r="F241" s="20">
        <v>1.4044656540272841E-2</v>
      </c>
      <c r="G241" s="20">
        <v>0.92712621545865026</v>
      </c>
      <c r="H241">
        <v>0.625</v>
      </c>
    </row>
    <row r="242" spans="1:8" x14ac:dyDescent="0.25">
      <c r="A242" s="18">
        <v>-22303</v>
      </c>
      <c r="B242" s="20">
        <v>1.4168012774029054E-3</v>
      </c>
      <c r="C242" s="20">
        <v>1.0072116629347827</v>
      </c>
      <c r="D242" s="20">
        <v>-6.8727283372545757E-3</v>
      </c>
      <c r="E242" s="20">
        <v>0.66003709873266336</v>
      </c>
      <c r="F242" s="20">
        <v>5.3298080671279708E-3</v>
      </c>
      <c r="G242" s="20">
        <v>8.463556435129405</v>
      </c>
      <c r="H242">
        <v>0.32500000000000001</v>
      </c>
    </row>
    <row r="243" spans="1:8" x14ac:dyDescent="0.25">
      <c r="A243" s="18">
        <v>-60195</v>
      </c>
      <c r="B243" s="20">
        <v>3.3899048458430379E-4</v>
      </c>
      <c r="C243" s="20">
        <v>1.144029481432367</v>
      </c>
      <c r="D243" s="20">
        <v>-6.5025553276231399E-2</v>
      </c>
      <c r="E243" s="20">
        <v>0.70011548680296676</v>
      </c>
      <c r="F243" s="20">
        <v>7.3197632527576039E-3</v>
      </c>
      <c r="G243" s="20">
        <v>1.1480528520603317</v>
      </c>
      <c r="H243">
        <v>0.35</v>
      </c>
    </row>
    <row r="244" spans="1:8" x14ac:dyDescent="0.25">
      <c r="A244" s="18">
        <v>-1018829</v>
      </c>
      <c r="B244" s="20">
        <v>1.5237643714555841E-3</v>
      </c>
      <c r="C244" s="20">
        <v>1.1342127930036623</v>
      </c>
      <c r="D244" s="20">
        <v>-8.6012014661811367E-2</v>
      </c>
      <c r="E244" s="20">
        <v>0.51916350345166851</v>
      </c>
      <c r="F244" s="20">
        <v>1.0034111724974704E-2</v>
      </c>
      <c r="G244" s="20">
        <v>1.2453050765407576</v>
      </c>
      <c r="H244">
        <v>0.32500000000000001</v>
      </c>
    </row>
    <row r="245" spans="1:8" x14ac:dyDescent="0.25">
      <c r="A245" s="18">
        <v>-557705</v>
      </c>
      <c r="B245" s="20">
        <v>9.0752574382323202E-4</v>
      </c>
      <c r="C245" s="20">
        <v>1.1246421532879709</v>
      </c>
      <c r="D245" s="20">
        <v>-6.2451016368021646E-2</v>
      </c>
      <c r="E245" s="20">
        <v>0.82191317738762004</v>
      </c>
      <c r="F245" s="20">
        <v>4.0086877464858603E-2</v>
      </c>
      <c r="G245" s="20">
        <v>1.3943579269598554</v>
      </c>
      <c r="H245">
        <v>0.35</v>
      </c>
    </row>
    <row r="246" spans="1:8" x14ac:dyDescent="0.25">
      <c r="A246" s="18">
        <v>67025</v>
      </c>
      <c r="B246" s="20">
        <v>3.9862093841021247E-4</v>
      </c>
      <c r="C246" s="20">
        <v>0.93665281461516714</v>
      </c>
      <c r="D246" s="20">
        <v>8.9383589959699042E-2</v>
      </c>
      <c r="E246" s="20">
        <v>0.48377717003858695</v>
      </c>
      <c r="F246" s="20">
        <v>1.7794035670753664E-2</v>
      </c>
      <c r="G246" s="20">
        <v>0.41588242395990171</v>
      </c>
      <c r="H246">
        <v>0.5</v>
      </c>
    </row>
    <row r="247" spans="1:8" x14ac:dyDescent="0.25">
      <c r="A247" s="18">
        <v>1883475</v>
      </c>
      <c r="B247" s="20">
        <v>1.211512853719408E-3</v>
      </c>
      <c r="C247" s="20">
        <v>0.83193629514787049</v>
      </c>
      <c r="D247" s="20">
        <v>0.11086932297825031</v>
      </c>
      <c r="E247" s="20">
        <v>0.74901698438294595</v>
      </c>
      <c r="F247" s="20">
        <v>9.491799711129633E-3</v>
      </c>
      <c r="G247" s="20">
        <v>1.0377712018746401</v>
      </c>
      <c r="H247">
        <v>0.625</v>
      </c>
    </row>
    <row r="248" spans="1:8" x14ac:dyDescent="0.25">
      <c r="A248" s="18">
        <v>-288329</v>
      </c>
      <c r="B248" s="20">
        <v>2.2987837366772617E-4</v>
      </c>
      <c r="C248" s="20">
        <v>1.0906709026786343</v>
      </c>
      <c r="D248" s="20">
        <v>-0.10507601300872739</v>
      </c>
      <c r="E248" s="20">
        <v>0.58866268218697304</v>
      </c>
      <c r="F248" s="20">
        <v>4.6311885842732006E-3</v>
      </c>
      <c r="G248" s="20">
        <v>1.3079384137972707</v>
      </c>
      <c r="H248">
        <v>0.27500000000000002</v>
      </c>
    </row>
    <row r="249" spans="1:8" x14ac:dyDescent="0.25">
      <c r="A249" s="18">
        <v>1402145</v>
      </c>
      <c r="B249" s="20">
        <v>1.7167866679197848E-2</v>
      </c>
      <c r="C249" s="20">
        <v>0.88952844295362643</v>
      </c>
      <c r="D249" s="20">
        <v>6.5786559797552241E-2</v>
      </c>
      <c r="E249" s="20">
        <v>0.8850059930385582</v>
      </c>
      <c r="F249" s="20">
        <v>1.7141819841539289E-2</v>
      </c>
      <c r="G249" s="20">
        <v>0.30577115765179258</v>
      </c>
      <c r="H249">
        <v>0.8</v>
      </c>
    </row>
    <row r="250" spans="1:8" x14ac:dyDescent="0.25">
      <c r="A250" s="18">
        <v>121106.25</v>
      </c>
      <c r="B250" s="20">
        <v>3.5125304726956966E-3</v>
      </c>
      <c r="C250" s="20">
        <v>0.97571038553044609</v>
      </c>
      <c r="D250" s="20">
        <v>4.7285148700408793E-2</v>
      </c>
      <c r="E250" s="20">
        <v>0.30970585567882947</v>
      </c>
      <c r="F250" s="20">
        <v>8.6604273794603295E-2</v>
      </c>
      <c r="G250" s="20">
        <v>-0.52357711271486485</v>
      </c>
      <c r="H250">
        <v>0.55000000000000004</v>
      </c>
    </row>
    <row r="251" spans="1:8" x14ac:dyDescent="0.25">
      <c r="A251" s="18">
        <v>-10079</v>
      </c>
      <c r="B251" s="20">
        <v>3.8426412756617647E-4</v>
      </c>
      <c r="C251" s="20">
        <v>1.0948287326405379</v>
      </c>
      <c r="D251" s="20">
        <v>-0.10700824937094565</v>
      </c>
      <c r="E251" s="20">
        <v>0.48182213469064122</v>
      </c>
      <c r="F251" s="20">
        <v>8.7324422172440519E-2</v>
      </c>
      <c r="G251" s="20">
        <v>0.69395754977001045</v>
      </c>
      <c r="H251">
        <v>0.3</v>
      </c>
    </row>
    <row r="252" spans="1:8" x14ac:dyDescent="0.25">
      <c r="A252" s="18">
        <v>-348102</v>
      </c>
      <c r="B252" s="20">
        <v>3.7930816954598054E-3</v>
      </c>
      <c r="C252" s="20">
        <v>1.0728208711485485</v>
      </c>
      <c r="D252" s="20">
        <v>-6.5769081000931262E-2</v>
      </c>
      <c r="E252" s="20">
        <v>0.7064115014152812</v>
      </c>
      <c r="F252" s="20">
        <v>4.5675334620241008E-3</v>
      </c>
      <c r="G252" s="20">
        <v>1.1401246218695218</v>
      </c>
      <c r="H252">
        <v>0.45</v>
      </c>
    </row>
    <row r="253" spans="1:8" x14ac:dyDescent="0.25">
      <c r="A253" s="18">
        <v>720742.5</v>
      </c>
      <c r="B253" s="20">
        <v>1.1038028247059959E-3</v>
      </c>
      <c r="C253" s="20">
        <v>0.83754585724592623</v>
      </c>
      <c r="D253" s="20">
        <v>0.2212650259165978</v>
      </c>
      <c r="E253" s="20">
        <v>0.94985833942782893</v>
      </c>
      <c r="F253" s="20">
        <v>2.9790886641132791E-3</v>
      </c>
      <c r="G253" s="20">
        <v>1.2814088466328422</v>
      </c>
      <c r="H253">
        <v>0.55000000000000004</v>
      </c>
    </row>
    <row r="254" spans="1:8" x14ac:dyDescent="0.25">
      <c r="A254" s="18">
        <v>-1077635</v>
      </c>
      <c r="B254" s="20">
        <v>6.399481744708794E-3</v>
      </c>
      <c r="C254" s="20">
        <v>1.1641302413728287</v>
      </c>
      <c r="D254" s="20">
        <v>-0.12080240413189992</v>
      </c>
      <c r="E254" s="20">
        <v>0.70200658705498586</v>
      </c>
      <c r="F254" s="20">
        <v>7.192195359930373E-3</v>
      </c>
      <c r="G254" s="20">
        <v>0.90091889061133368</v>
      </c>
      <c r="H254">
        <v>0.65</v>
      </c>
    </row>
    <row r="255" spans="1:8" x14ac:dyDescent="0.25">
      <c r="A255" s="18">
        <v>160271.25</v>
      </c>
      <c r="B255" s="20">
        <v>2.1523187039343378E-3</v>
      </c>
      <c r="C255" s="20">
        <v>0.97685797454521328</v>
      </c>
      <c r="D255" s="20">
        <v>1.2438505469384031E-2</v>
      </c>
      <c r="E255" s="20">
        <v>0.71453976054959234</v>
      </c>
      <c r="F255" s="20">
        <v>3.1084379781932434E-2</v>
      </c>
      <c r="G255" s="20">
        <v>4.4163744390541937E-2</v>
      </c>
      <c r="H255">
        <v>0.7</v>
      </c>
    </row>
    <row r="256" spans="1:8" x14ac:dyDescent="0.25">
      <c r="A256" s="18">
        <v>-1205751</v>
      </c>
      <c r="B256" s="20">
        <v>2.0500767263494984E-3</v>
      </c>
      <c r="C256" s="20">
        <v>1.1546140269975043</v>
      </c>
      <c r="D256" s="20">
        <v>-6.8819907512285269E-2</v>
      </c>
      <c r="E256" s="20">
        <v>0.98970542329831135</v>
      </c>
      <c r="F256" s="20">
        <v>3.7766872763782934E-3</v>
      </c>
      <c r="G256" s="20">
        <v>1.8142097898714356</v>
      </c>
      <c r="H256">
        <v>0.4</v>
      </c>
    </row>
    <row r="257" spans="1:8" x14ac:dyDescent="0.25">
      <c r="A257" s="18">
        <v>134781.25</v>
      </c>
      <c r="B257" s="20">
        <v>1.7805494998084611E-3</v>
      </c>
      <c r="C257" s="20">
        <v>0.97733412232506978</v>
      </c>
      <c r="D257" s="20">
        <v>2.3714609862392141E-2</v>
      </c>
      <c r="E257" s="20">
        <v>0.48230347733920798</v>
      </c>
      <c r="F257" s="20">
        <v>2.502556097341254E-2</v>
      </c>
      <c r="G257" s="20">
        <v>1.4890629315729789</v>
      </c>
      <c r="H257">
        <v>0.4</v>
      </c>
    </row>
    <row r="258" spans="1:8" x14ac:dyDescent="0.25">
      <c r="A258" s="18">
        <v>2044950</v>
      </c>
      <c r="B258" s="20">
        <v>8.5728426198209144E-4</v>
      </c>
      <c r="C258" s="20">
        <v>0.80512783893965711</v>
      </c>
      <c r="D258" s="20">
        <v>0.35985440058141221</v>
      </c>
      <c r="E258" s="20">
        <v>0.89126479059324226</v>
      </c>
      <c r="F258" s="20">
        <v>1.1160334452809969E-2</v>
      </c>
      <c r="G258" s="20">
        <v>0.7398785671103647</v>
      </c>
      <c r="H258">
        <v>0.65</v>
      </c>
    </row>
    <row r="259" spans="1:8" x14ac:dyDescent="0.25">
      <c r="A259" s="18">
        <v>-2077715</v>
      </c>
      <c r="B259" s="20">
        <v>1.4141815474848225E-3</v>
      </c>
      <c r="C259" s="20">
        <v>1.2454628351914894</v>
      </c>
      <c r="D259" s="20">
        <v>-0.18612209438831201</v>
      </c>
      <c r="E259" s="20">
        <v>0.73525217194857728</v>
      </c>
      <c r="F259" s="20">
        <v>6.5624472876598006E-2</v>
      </c>
      <c r="G259" s="20">
        <v>1.23048322579392</v>
      </c>
      <c r="H259">
        <v>0.35</v>
      </c>
    </row>
    <row r="260" spans="1:8" x14ac:dyDescent="0.25">
      <c r="A260" s="18">
        <v>473945</v>
      </c>
      <c r="B260" s="20">
        <v>4.121020284950006E-4</v>
      </c>
      <c r="C260" s="20">
        <v>0.93131786886546031</v>
      </c>
      <c r="D260" s="20">
        <v>8.4405367308358431E-2</v>
      </c>
      <c r="E260" s="20">
        <v>0.55588351354578147</v>
      </c>
      <c r="F260" s="20">
        <v>2.4799180068760958E-3</v>
      </c>
      <c r="G260" s="20">
        <v>1.2255012457697605</v>
      </c>
      <c r="H260">
        <v>0.42499999999999999</v>
      </c>
    </row>
    <row r="261" spans="1:8" x14ac:dyDescent="0.25">
      <c r="A261" s="18">
        <v>-951936</v>
      </c>
      <c r="B261" s="20">
        <v>1.7678801013658915E-2</v>
      </c>
      <c r="C261" s="20">
        <v>1.1793974534793392</v>
      </c>
      <c r="D261" s="20">
        <v>-0.15978501428006725</v>
      </c>
      <c r="E261" s="20">
        <v>0.513325771084436</v>
      </c>
      <c r="F261" s="20">
        <v>1.5454532484110646E-2</v>
      </c>
      <c r="G261" s="20">
        <v>0.5077482037013743</v>
      </c>
      <c r="H261">
        <v>0.57499999999999996</v>
      </c>
    </row>
    <row r="262" spans="1:8" x14ac:dyDescent="0.25">
      <c r="A262" s="18">
        <v>-871606</v>
      </c>
      <c r="B262" s="20">
        <v>7.440733381819175E-3</v>
      </c>
      <c r="C262" s="20">
        <v>1.1527214260464029</v>
      </c>
      <c r="D262" s="20">
        <v>-7.0270779279518247E-2</v>
      </c>
      <c r="E262" s="20">
        <v>0.85043989154495647</v>
      </c>
      <c r="F262" s="20">
        <v>1.8318166419344681E-2</v>
      </c>
      <c r="G262" s="20">
        <v>0.51590743485803869</v>
      </c>
      <c r="H262">
        <v>0.65</v>
      </c>
    </row>
    <row r="263" spans="1:8" x14ac:dyDescent="0.25">
      <c r="A263" s="18">
        <v>857887.5</v>
      </c>
      <c r="B263" s="20">
        <v>5.2533530935779402E-3</v>
      </c>
      <c r="C263" s="20">
        <v>0.92832305621882638</v>
      </c>
      <c r="D263" s="20">
        <v>4.2365229052609997E-2</v>
      </c>
      <c r="E263" s="20">
        <v>0.73909538949612907</v>
      </c>
      <c r="F263" s="20">
        <v>4.2938691449921334E-3</v>
      </c>
      <c r="G263" s="20">
        <v>1.0453134020400632</v>
      </c>
      <c r="H263">
        <v>0.72499999999999998</v>
      </c>
    </row>
    <row r="264" spans="1:8" x14ac:dyDescent="0.25">
      <c r="A264" s="18">
        <v>-643703</v>
      </c>
      <c r="B264" s="20">
        <v>1.3078309116965731E-3</v>
      </c>
      <c r="C264" s="20">
        <v>1.0928615306324359</v>
      </c>
      <c r="D264" s="20">
        <v>-0.1104498980698211</v>
      </c>
      <c r="E264" s="20">
        <v>0.63468417323584103</v>
      </c>
      <c r="F264" s="20">
        <v>2.9595012636390917E-3</v>
      </c>
      <c r="G264" s="20">
        <v>0.88128881303218309</v>
      </c>
      <c r="H264">
        <v>0.47499999999999998</v>
      </c>
    </row>
    <row r="265" spans="1:8" x14ac:dyDescent="0.25">
      <c r="A265" s="18">
        <v>-351855</v>
      </c>
      <c r="B265" s="20">
        <v>3.2594346995881615E-4</v>
      </c>
      <c r="C265" s="20">
        <v>1.0990834432009897</v>
      </c>
      <c r="D265" s="20">
        <v>-0.11316780438603037</v>
      </c>
      <c r="E265" s="20">
        <v>0.38949687452317344</v>
      </c>
      <c r="F265" s="20">
        <v>7.7687620772791482E-2</v>
      </c>
      <c r="G265" s="20">
        <v>1.7244223675477788</v>
      </c>
      <c r="H265">
        <v>0.15</v>
      </c>
    </row>
    <row r="266" spans="1:8" x14ac:dyDescent="0.25">
      <c r="A266" s="18">
        <v>1106502.5</v>
      </c>
      <c r="B266" s="20">
        <v>1.977732579739083E-3</v>
      </c>
      <c r="C266" s="20">
        <v>0.91054019293317023</v>
      </c>
      <c r="D266" s="20">
        <v>0.1043516570279527</v>
      </c>
      <c r="E266" s="20">
        <v>0.28794194906599113</v>
      </c>
      <c r="F266" s="20">
        <v>6.061624583289834E-2</v>
      </c>
      <c r="G266" s="20">
        <v>0.80303457183571192</v>
      </c>
      <c r="H266">
        <v>0.5</v>
      </c>
    </row>
    <row r="267" spans="1:8" x14ac:dyDescent="0.25">
      <c r="A267" s="18">
        <v>-113534</v>
      </c>
      <c r="B267" s="20">
        <v>2.4488126277754578E-3</v>
      </c>
      <c r="C267" s="20">
        <v>1.044781936640008</v>
      </c>
      <c r="D267" s="20">
        <v>-2.3026411192636025E-2</v>
      </c>
      <c r="E267" s="20">
        <v>0.9143626322210805</v>
      </c>
      <c r="F267" s="20">
        <v>1.4289338881543601E-2</v>
      </c>
      <c r="G267" s="20">
        <v>1.5410467190734842</v>
      </c>
      <c r="H267">
        <v>0.4</v>
      </c>
    </row>
    <row r="268" spans="1:8" x14ac:dyDescent="0.25">
      <c r="A268" s="18">
        <v>842457.5</v>
      </c>
      <c r="B268" s="20">
        <v>2.8599589764043061E-3</v>
      </c>
      <c r="C268" s="20">
        <v>0.89687659180294477</v>
      </c>
      <c r="D268" s="20">
        <v>7.4578266292278164E-2</v>
      </c>
      <c r="E268" s="20">
        <v>0.96793256450799026</v>
      </c>
      <c r="F268" s="20">
        <v>2.248349391264581E-2</v>
      </c>
      <c r="G268" s="20">
        <v>0.58790642892406264</v>
      </c>
      <c r="H268">
        <v>0.7</v>
      </c>
    </row>
    <row r="269" spans="1:8" x14ac:dyDescent="0.25">
      <c r="A269" s="18">
        <v>-2555745</v>
      </c>
      <c r="B269" s="20">
        <v>2.2425196279753016E-3</v>
      </c>
      <c r="C269" s="20">
        <v>1.2715548380520738</v>
      </c>
      <c r="D269" s="20">
        <v>-0.29802642741323748</v>
      </c>
      <c r="E269" s="20">
        <v>0.80587387434120039</v>
      </c>
      <c r="F269" s="20">
        <v>8.9748022433507289E-3</v>
      </c>
      <c r="G269" s="20">
        <v>0.86449960846629914</v>
      </c>
      <c r="H269">
        <v>0.55000000000000004</v>
      </c>
    </row>
    <row r="270" spans="1:8" x14ac:dyDescent="0.25">
      <c r="A270" s="18">
        <v>-510250</v>
      </c>
      <c r="B270" s="20">
        <v>1.4575145359567848E-3</v>
      </c>
      <c r="C270" s="20">
        <v>1.107353850316124</v>
      </c>
      <c r="D270" s="20">
        <v>-6.6865154507320765E-2</v>
      </c>
      <c r="E270" s="20">
        <v>0.68368492811705261</v>
      </c>
      <c r="F270" s="20">
        <v>1.2367137856881705E-2</v>
      </c>
      <c r="G270" s="20">
        <v>0.6860502165486867</v>
      </c>
      <c r="H270">
        <v>0.47499999999999998</v>
      </c>
    </row>
    <row r="271" spans="1:8" x14ac:dyDescent="0.25">
      <c r="A271" s="18">
        <v>-4371</v>
      </c>
      <c r="B271" s="20">
        <v>4.5862158324508325E-5</v>
      </c>
      <c r="C271" s="20">
        <v>1.0182503617060299</v>
      </c>
      <c r="D271" s="20">
        <v>-8.1020814063626646E-3</v>
      </c>
      <c r="E271" s="20">
        <v>0.62942809174519576</v>
      </c>
      <c r="F271" s="20">
        <v>4.3485433491939627E-3</v>
      </c>
      <c r="G271" s="20">
        <v>1.9926499793533037</v>
      </c>
      <c r="H271">
        <v>0.27500000000000002</v>
      </c>
    </row>
    <row r="272" spans="1:8" x14ac:dyDescent="0.25">
      <c r="A272" s="18">
        <v>117121.25</v>
      </c>
      <c r="B272" s="20">
        <v>2.2635466319082225E-4</v>
      </c>
      <c r="C272" s="20">
        <v>0.84171633580160243</v>
      </c>
      <c r="D272" s="20">
        <v>0.12786204539971202</v>
      </c>
      <c r="E272" s="20">
        <v>0.91016014300292225</v>
      </c>
      <c r="F272" s="20">
        <v>1.8886524737526432E-3</v>
      </c>
      <c r="G272" s="20">
        <v>0.42636985994364873</v>
      </c>
      <c r="H272">
        <v>0.65</v>
      </c>
    </row>
    <row r="273" spans="1:8" x14ac:dyDescent="0.25">
      <c r="A273" s="18">
        <v>602130</v>
      </c>
      <c r="B273" s="20">
        <v>7.592564374499536E-3</v>
      </c>
      <c r="C273" s="20">
        <v>0.86978249524510109</v>
      </c>
      <c r="D273" s="20">
        <v>8.776743793507108E-2</v>
      </c>
      <c r="E273" s="20">
        <v>0.73214881436047563</v>
      </c>
      <c r="F273" s="20">
        <v>4.5859517584461926E-3</v>
      </c>
      <c r="G273" s="20">
        <v>1.0994860464249034</v>
      </c>
      <c r="H273">
        <v>0.72499999999999998</v>
      </c>
    </row>
    <row r="274" spans="1:8" x14ac:dyDescent="0.25">
      <c r="A274" s="18">
        <v>1292728.75</v>
      </c>
      <c r="B274" s="20">
        <v>1.0157470933424973E-2</v>
      </c>
      <c r="C274" s="20">
        <v>0.83262004617944996</v>
      </c>
      <c r="D274" s="20">
        <v>0.15059140789525491</v>
      </c>
      <c r="E274" s="20">
        <v>0.39931967675388891</v>
      </c>
      <c r="F274" s="20">
        <v>6.3733451564044596E-3</v>
      </c>
      <c r="G274" s="20">
        <v>0.85990584084509214</v>
      </c>
      <c r="H274">
        <v>0.65</v>
      </c>
    </row>
    <row r="275" spans="1:8" x14ac:dyDescent="0.25">
      <c r="A275" s="18">
        <v>1007780</v>
      </c>
      <c r="B275" s="20">
        <v>7.8038199616122213E-3</v>
      </c>
      <c r="C275" s="20">
        <v>0.90523296231269246</v>
      </c>
      <c r="D275" s="20">
        <v>0.12305988781033309</v>
      </c>
      <c r="E275" s="20">
        <v>0.39991223691462263</v>
      </c>
      <c r="F275" s="20">
        <v>1.8191562549683453E-2</v>
      </c>
      <c r="G275" s="20">
        <v>0.53274663480020745</v>
      </c>
      <c r="H275">
        <v>0.65</v>
      </c>
    </row>
    <row r="276" spans="1:8" x14ac:dyDescent="0.25">
      <c r="A276" s="18">
        <v>479108.75</v>
      </c>
      <c r="B276" s="20">
        <v>1.0362900643325786E-3</v>
      </c>
      <c r="C276" s="20">
        <v>0.94243965943848695</v>
      </c>
      <c r="D276" s="20">
        <v>5.59323843408061E-2</v>
      </c>
      <c r="E276" s="20">
        <v>0.73196284956919344</v>
      </c>
      <c r="F276" s="20">
        <v>2.160122701105412E-2</v>
      </c>
      <c r="G276" s="20">
        <v>1.256671506356893</v>
      </c>
      <c r="H276">
        <v>0.55000000000000004</v>
      </c>
    </row>
    <row r="277" spans="1:8" x14ac:dyDescent="0.25">
      <c r="A277" s="18">
        <v>1557173.75</v>
      </c>
      <c r="B277" s="20">
        <v>1.3841822157713924E-3</v>
      </c>
      <c r="C277" s="20">
        <v>0.83192845111011204</v>
      </c>
      <c r="D277" s="20">
        <v>0.10936058306213951</v>
      </c>
      <c r="E277" s="20">
        <v>0.60025984332928617</v>
      </c>
      <c r="F277" s="20">
        <v>3.4874829463580531E-2</v>
      </c>
      <c r="G277" s="20">
        <v>1.2320069162895784</v>
      </c>
      <c r="H277">
        <v>0.47499999999999998</v>
      </c>
    </row>
    <row r="278" spans="1:8" x14ac:dyDescent="0.25">
      <c r="A278" s="18">
        <v>-291169</v>
      </c>
      <c r="B278" s="20">
        <v>1.9081910702606998E-4</v>
      </c>
      <c r="C278" s="20">
        <v>1.2618463548118286</v>
      </c>
      <c r="D278" s="20">
        <v>-0.14411717102322702</v>
      </c>
      <c r="E278" s="20">
        <v>0.60858303346424558</v>
      </c>
      <c r="F278" s="20">
        <v>1.1398446714773533E-2</v>
      </c>
      <c r="G278" s="20">
        <v>1.5896855810673376</v>
      </c>
      <c r="H278">
        <v>0.27500000000000002</v>
      </c>
    </row>
    <row r="279" spans="1:8" x14ac:dyDescent="0.25">
      <c r="A279" s="18">
        <v>-1537231</v>
      </c>
      <c r="B279" s="20">
        <v>1.6637176799112231E-3</v>
      </c>
      <c r="C279" s="20">
        <v>1.1633175711580506</v>
      </c>
      <c r="D279" s="20">
        <v>-9.1602176884336237E-2</v>
      </c>
      <c r="E279" s="20">
        <v>0.94850059058035352</v>
      </c>
      <c r="F279" s="20">
        <v>3.0307004713913139E-3</v>
      </c>
      <c r="G279" s="20">
        <v>1.6034197852007495</v>
      </c>
      <c r="H279">
        <v>0.4</v>
      </c>
    </row>
    <row r="280" spans="1:8" x14ac:dyDescent="0.25">
      <c r="A280" s="18">
        <v>-28667</v>
      </c>
      <c r="B280" s="20">
        <v>1.0062356812738117E-3</v>
      </c>
      <c r="C280" s="20">
        <v>1.1705474317941151</v>
      </c>
      <c r="D280" s="20">
        <v>-0.10450127951823041</v>
      </c>
      <c r="E280" s="20">
        <v>0.99962831239250216</v>
      </c>
      <c r="F280" s="20">
        <v>1.6232748375996094E-2</v>
      </c>
      <c r="G280" s="20">
        <v>0.73940766945273217</v>
      </c>
      <c r="H280">
        <v>0.55000000000000004</v>
      </c>
    </row>
    <row r="281" spans="1:8" x14ac:dyDescent="0.25">
      <c r="A281" s="18">
        <v>-1343034</v>
      </c>
      <c r="B281" s="20">
        <v>6.1054492379975286E-3</v>
      </c>
      <c r="C281" s="20">
        <v>1.1400889647187862</v>
      </c>
      <c r="D281" s="20">
        <v>-7.9824644613987777E-2</v>
      </c>
      <c r="E281" s="20">
        <v>0.71611362968028269</v>
      </c>
      <c r="F281" s="20">
        <v>2.1806554180363705E-2</v>
      </c>
      <c r="G281" s="20">
        <v>0.85426519794836475</v>
      </c>
      <c r="H281">
        <v>0.65</v>
      </c>
    </row>
    <row r="282" spans="1:8" x14ac:dyDescent="0.25">
      <c r="A282" s="18">
        <v>1304438.75</v>
      </c>
      <c r="B282" s="20">
        <v>4.6938928109835597E-3</v>
      </c>
      <c r="C282" s="20">
        <v>0.84354424367217384</v>
      </c>
      <c r="D282" s="20">
        <v>6.4708183640576455E-2</v>
      </c>
      <c r="E282" s="20">
        <v>0.9973989382803593</v>
      </c>
      <c r="F282" s="20">
        <v>2.7005190936301687E-2</v>
      </c>
      <c r="G282" s="20">
        <v>1.1547728329394467</v>
      </c>
      <c r="H282">
        <v>0.6</v>
      </c>
    </row>
    <row r="283" spans="1:8" x14ac:dyDescent="0.25">
      <c r="A283" s="18">
        <v>552683.75</v>
      </c>
      <c r="B283" s="20">
        <v>5.0364955380242211E-4</v>
      </c>
      <c r="C283" s="20">
        <v>0.87952802042707001</v>
      </c>
      <c r="D283" s="20">
        <v>0.11326287411712509</v>
      </c>
      <c r="E283" s="20">
        <v>0.84389180611321779</v>
      </c>
      <c r="F283" s="20">
        <v>3.8671176548342047E-2</v>
      </c>
      <c r="G283" s="20">
        <v>1.477145397155466</v>
      </c>
      <c r="H283">
        <v>0.5</v>
      </c>
    </row>
    <row r="284" spans="1:8" x14ac:dyDescent="0.25">
      <c r="A284" s="18">
        <v>-70798</v>
      </c>
      <c r="B284" s="20">
        <v>1.3562022678192626E-3</v>
      </c>
      <c r="C284" s="20">
        <v>1.0085680169274009</v>
      </c>
      <c r="D284" s="20">
        <v>-6.1457386778927372E-3</v>
      </c>
      <c r="E284" s="20">
        <v>0.53017249512598619</v>
      </c>
      <c r="F284" s="20">
        <v>2.4752922172958471E-2</v>
      </c>
      <c r="G284" s="20">
        <v>0.24664130006397533</v>
      </c>
      <c r="H284">
        <v>0.47499999999999998</v>
      </c>
    </row>
    <row r="285" spans="1:8" x14ac:dyDescent="0.25">
      <c r="A285" s="18">
        <v>1479927.5</v>
      </c>
      <c r="B285" s="20">
        <v>3.8207770970285597E-3</v>
      </c>
      <c r="C285" s="20">
        <v>0.87508893083589068</v>
      </c>
      <c r="D285" s="20">
        <v>7.7735499150435441E-2</v>
      </c>
      <c r="E285" s="20">
        <v>0.94988142440791656</v>
      </c>
      <c r="F285" s="20">
        <v>3.0063576045956115E-2</v>
      </c>
      <c r="G285" s="20">
        <v>0.36504909784831818</v>
      </c>
      <c r="H285">
        <v>0.75</v>
      </c>
    </row>
    <row r="286" spans="1:8" x14ac:dyDescent="0.25">
      <c r="A286" s="18">
        <v>-406958</v>
      </c>
      <c r="B286" s="20">
        <v>4.7312564188153997E-4</v>
      </c>
      <c r="C286" s="20">
        <v>1.1885141975550642</v>
      </c>
      <c r="D286" s="20">
        <v>-0.13301502309699431</v>
      </c>
      <c r="E286" s="20">
        <v>0.87164605943054907</v>
      </c>
      <c r="F286" s="20">
        <v>5.5507962277360698E-2</v>
      </c>
      <c r="G286" s="20">
        <v>1.1386531540206664</v>
      </c>
      <c r="H286">
        <v>0.3</v>
      </c>
    </row>
    <row r="287" spans="1:8" x14ac:dyDescent="0.25">
      <c r="A287" s="18">
        <v>111225</v>
      </c>
      <c r="B287" s="20">
        <v>6.5726823904822758E-5</v>
      </c>
      <c r="C287" s="20">
        <v>0.81287510039568023</v>
      </c>
      <c r="D287" s="20">
        <v>0.28153381190073606</v>
      </c>
      <c r="E287" s="20">
        <v>0.53811001979086792</v>
      </c>
      <c r="F287" s="20">
        <v>1.7647594844431843E-2</v>
      </c>
      <c r="G287" s="20">
        <v>0.82894678472212235</v>
      </c>
      <c r="H287">
        <v>0.57499999999999996</v>
      </c>
    </row>
    <row r="288" spans="1:8" x14ac:dyDescent="0.25">
      <c r="A288" s="18">
        <v>-1007841</v>
      </c>
      <c r="B288" s="20">
        <v>1.8288083364017143E-3</v>
      </c>
      <c r="C288" s="20">
        <v>1.2486975098760917</v>
      </c>
      <c r="D288" s="20">
        <v>-0.2548614654924331</v>
      </c>
      <c r="E288" s="20">
        <v>0.45887687512198722</v>
      </c>
      <c r="F288" s="20">
        <v>8.3298225348251819E-4</v>
      </c>
      <c r="G288" s="20">
        <v>1.4177490752214257</v>
      </c>
      <c r="H288">
        <v>0.25</v>
      </c>
    </row>
    <row r="289" spans="1:8" x14ac:dyDescent="0.25">
      <c r="A289" s="18">
        <v>-163266</v>
      </c>
      <c r="B289" s="20">
        <v>6.9952772773227844E-4</v>
      </c>
      <c r="C289" s="20">
        <v>1.0523020778158076</v>
      </c>
      <c r="D289" s="20">
        <v>-2.2787368004981046E-2</v>
      </c>
      <c r="E289" s="20">
        <v>0.5720833268790475</v>
      </c>
      <c r="F289" s="20">
        <v>4.5721426219639767E-2</v>
      </c>
      <c r="G289" s="20">
        <v>2.1087408374738086</v>
      </c>
      <c r="H289">
        <v>0.27500000000000002</v>
      </c>
    </row>
    <row r="290" spans="1:8" x14ac:dyDescent="0.25">
      <c r="A290" s="18">
        <v>-373897</v>
      </c>
      <c r="B290" s="20">
        <v>9.8661791342818141E-3</v>
      </c>
      <c r="C290" s="20">
        <v>1.2394847727258196</v>
      </c>
      <c r="D290" s="20">
        <v>-0.20945683636410489</v>
      </c>
      <c r="E290" s="20">
        <v>0.84142344634619204</v>
      </c>
      <c r="F290" s="20">
        <v>9.1088405611180231E-4</v>
      </c>
      <c r="G290" s="20">
        <v>0.81140670811882654</v>
      </c>
      <c r="H290">
        <v>0.65</v>
      </c>
    </row>
    <row r="291" spans="1:8" x14ac:dyDescent="0.25">
      <c r="A291" s="18">
        <v>-26502</v>
      </c>
      <c r="B291" s="20">
        <v>2.825707769283487E-3</v>
      </c>
      <c r="C291" s="20">
        <v>1.0039270339115536</v>
      </c>
      <c r="D291" s="20">
        <v>-3.1472992331976297E-3</v>
      </c>
      <c r="E291" s="20">
        <v>0.88008049803850052</v>
      </c>
      <c r="F291" s="20">
        <v>1.6690352759492162E-2</v>
      </c>
      <c r="G291" s="20">
        <v>13.979966496924968</v>
      </c>
      <c r="H291">
        <v>0.4</v>
      </c>
    </row>
    <row r="292" spans="1:8" x14ac:dyDescent="0.25">
      <c r="A292" s="18">
        <v>-1338801</v>
      </c>
      <c r="B292" s="20">
        <v>1.1072909630337623E-3</v>
      </c>
      <c r="C292" s="20">
        <v>1.1790582048912126</v>
      </c>
      <c r="D292" s="20">
        <v>-0.24259468850669563</v>
      </c>
      <c r="E292" s="20">
        <v>0.43572557568086046</v>
      </c>
      <c r="F292" s="20">
        <v>2.0620714323766904E-2</v>
      </c>
      <c r="G292" s="20">
        <v>2.0404705675691339</v>
      </c>
      <c r="H292">
        <v>0.25</v>
      </c>
    </row>
    <row r="293" spans="1:8" x14ac:dyDescent="0.25">
      <c r="A293" s="18">
        <v>-153880</v>
      </c>
      <c r="B293" s="20">
        <v>9.7381771655607679E-5</v>
      </c>
      <c r="C293" s="20">
        <v>1.2305673108976132</v>
      </c>
      <c r="D293" s="20">
        <v>-0.17864419412173763</v>
      </c>
      <c r="E293" s="20">
        <v>0.97505473085099403</v>
      </c>
      <c r="F293" s="20">
        <v>9.7971039393900689E-3</v>
      </c>
      <c r="G293" s="20">
        <v>1.7386585981450149</v>
      </c>
      <c r="H293">
        <v>0.35</v>
      </c>
    </row>
    <row r="294" spans="1:8" x14ac:dyDescent="0.25">
      <c r="A294" s="18">
        <v>820430</v>
      </c>
      <c r="B294" s="20">
        <v>6.4263280232143625E-4</v>
      </c>
      <c r="C294" s="20">
        <v>0.85597068028814527</v>
      </c>
      <c r="D294" s="20">
        <v>0.21094416688971321</v>
      </c>
      <c r="E294" s="20">
        <v>0.35624314410262758</v>
      </c>
      <c r="F294" s="20">
        <v>1.3153188871173723E-2</v>
      </c>
      <c r="G294" s="20">
        <v>1.1939585260296737</v>
      </c>
      <c r="H294">
        <v>0.35</v>
      </c>
    </row>
    <row r="295" spans="1:8" x14ac:dyDescent="0.25">
      <c r="A295" s="18">
        <v>1517248.75</v>
      </c>
      <c r="B295" s="20">
        <v>1.210314532311676E-3</v>
      </c>
      <c r="C295" s="20">
        <v>0.83425222047111458</v>
      </c>
      <c r="D295" s="20">
        <v>0.22631570115414018</v>
      </c>
      <c r="E295" s="20">
        <v>0.78495888058333163</v>
      </c>
      <c r="F295" s="20">
        <v>1.3442171797214401E-2</v>
      </c>
      <c r="G295" s="20">
        <v>1.12763888693034</v>
      </c>
      <c r="H295">
        <v>0.55000000000000004</v>
      </c>
    </row>
    <row r="296" spans="1:8" x14ac:dyDescent="0.25">
      <c r="A296" s="18">
        <v>-32596</v>
      </c>
      <c r="B296" s="20">
        <v>1.8064194569302722E-5</v>
      </c>
      <c r="C296" s="20">
        <v>1.0939961194920897</v>
      </c>
      <c r="D296" s="20">
        <v>-0.1454860320733411</v>
      </c>
      <c r="E296" s="20">
        <v>0.52939258398134303</v>
      </c>
      <c r="F296" s="20">
        <v>4.2276466308709258E-2</v>
      </c>
      <c r="G296" s="20">
        <v>1.091877322128515</v>
      </c>
      <c r="H296">
        <v>0.35</v>
      </c>
    </row>
    <row r="297" spans="1:8" x14ac:dyDescent="0.25">
      <c r="A297" s="18">
        <v>-646988</v>
      </c>
      <c r="B297" s="20">
        <v>8.6148845039679656E-4</v>
      </c>
      <c r="C297" s="20">
        <v>1.1019053830801857</v>
      </c>
      <c r="D297" s="20">
        <v>-6.4652392512654422E-2</v>
      </c>
      <c r="E297" s="20">
        <v>0.54003462268915625</v>
      </c>
      <c r="F297" s="20">
        <v>1.5479788607737367E-2</v>
      </c>
      <c r="G297" s="20">
        <v>2.0928431884115279</v>
      </c>
      <c r="H297">
        <v>0.27500000000000002</v>
      </c>
    </row>
    <row r="298" spans="1:8" x14ac:dyDescent="0.25">
      <c r="A298" s="18">
        <v>336832.5</v>
      </c>
      <c r="B298" s="20">
        <v>3.9252996908634603E-3</v>
      </c>
      <c r="C298" s="20">
        <v>0.92733815983237</v>
      </c>
      <c r="D298" s="20">
        <v>5.8047126685970188E-2</v>
      </c>
      <c r="E298" s="20">
        <v>0.65195158243762308</v>
      </c>
      <c r="F298" s="20">
        <v>9.9434026189687569E-3</v>
      </c>
      <c r="G298" s="20">
        <v>0.83658149683267646</v>
      </c>
      <c r="H298">
        <v>0.67500000000000004</v>
      </c>
    </row>
    <row r="299" spans="1:8" x14ac:dyDescent="0.25">
      <c r="A299" s="18">
        <v>-1464716</v>
      </c>
      <c r="B299" s="20">
        <v>1.017032571628419E-3</v>
      </c>
      <c r="C299" s="20">
        <v>1.1901293882593014</v>
      </c>
      <c r="D299" s="20">
        <v>-0.15888658461683985</v>
      </c>
      <c r="E299" s="20">
        <v>0.46241154872921453</v>
      </c>
      <c r="F299" s="20">
        <v>8.157072431401383E-3</v>
      </c>
      <c r="G299" s="20">
        <v>1.0268363561219414</v>
      </c>
      <c r="H299">
        <v>0.32500000000000001</v>
      </c>
    </row>
    <row r="300" spans="1:8" x14ac:dyDescent="0.25">
      <c r="A300" s="18">
        <v>2358338.75</v>
      </c>
      <c r="B300" s="20">
        <v>9.7477942436402076E-4</v>
      </c>
      <c r="C300" s="20">
        <v>0.80264779191494229</v>
      </c>
      <c r="D300" s="20">
        <v>0.21446171430691574</v>
      </c>
      <c r="E300" s="20">
        <v>0.96851744433372478</v>
      </c>
      <c r="F300" s="20">
        <v>2.7626849114208466E-4</v>
      </c>
      <c r="G300" s="20">
        <v>0.87921487239722318</v>
      </c>
      <c r="H300">
        <v>0.7</v>
      </c>
    </row>
    <row r="301" spans="1:8" x14ac:dyDescent="0.25">
      <c r="A301" s="18">
        <v>1559956.25</v>
      </c>
      <c r="B301" s="20">
        <v>8.4159778065040023E-3</v>
      </c>
      <c r="C301" s="20">
        <v>0.81589755427010202</v>
      </c>
      <c r="D301" s="20">
        <v>0.12635482905251147</v>
      </c>
      <c r="E301" s="20">
        <v>0.72098505159846926</v>
      </c>
      <c r="F301" s="20">
        <v>1.7768903172064952E-2</v>
      </c>
      <c r="G301" s="20">
        <v>0.81145203085154149</v>
      </c>
      <c r="H301">
        <v>0.8</v>
      </c>
    </row>
    <row r="302" spans="1:8" x14ac:dyDescent="0.25">
      <c r="A302" s="18">
        <v>-441805</v>
      </c>
      <c r="B302" s="20">
        <v>1.8049551343067292E-3</v>
      </c>
      <c r="C302" s="20">
        <v>1.0456380645440877</v>
      </c>
      <c r="D302" s="20">
        <v>-3.964881491051387E-2</v>
      </c>
      <c r="E302" s="20">
        <v>0.67262280953055298</v>
      </c>
      <c r="F302" s="20">
        <v>3.4218298986373095E-2</v>
      </c>
      <c r="G302" s="20">
        <v>1.3310427391597959</v>
      </c>
      <c r="H302">
        <v>0.32500000000000001</v>
      </c>
    </row>
    <row r="303" spans="1:8" x14ac:dyDescent="0.25">
      <c r="A303" s="18">
        <v>-11526</v>
      </c>
      <c r="B303" s="20">
        <v>9.0798109599502191E-4</v>
      </c>
      <c r="C303" s="20">
        <v>1.0259319648381651</v>
      </c>
      <c r="D303" s="20">
        <v>-1.1354949047547741E-2</v>
      </c>
      <c r="E303" s="20">
        <v>0.78270055533536798</v>
      </c>
      <c r="F303" s="20">
        <v>3.6981904589267277E-2</v>
      </c>
      <c r="G303" s="20">
        <v>2.9331514241562897</v>
      </c>
      <c r="H303">
        <v>0.35</v>
      </c>
    </row>
    <row r="304" spans="1:8" x14ac:dyDescent="0.25">
      <c r="A304" s="18">
        <v>-831184</v>
      </c>
      <c r="B304" s="20">
        <v>4.4613652565836364E-3</v>
      </c>
      <c r="C304" s="20">
        <v>1.2426385281290471</v>
      </c>
      <c r="D304" s="20">
        <v>-0.12989699776192165</v>
      </c>
      <c r="E304" s="20">
        <v>0.7245157849684436</v>
      </c>
      <c r="F304" s="20">
        <v>8.7749361481141829E-3</v>
      </c>
      <c r="G304" s="20">
        <v>0.96045635785376438</v>
      </c>
      <c r="H304">
        <v>0.6</v>
      </c>
    </row>
    <row r="305" spans="1:8" x14ac:dyDescent="0.25">
      <c r="A305" s="18">
        <v>-707221</v>
      </c>
      <c r="B305" s="20">
        <v>1.0907797143783005E-3</v>
      </c>
      <c r="C305" s="20">
        <v>1.1351321537603269</v>
      </c>
      <c r="D305" s="20">
        <v>-8.8818562327379114E-2</v>
      </c>
      <c r="E305" s="20">
        <v>0.91982043800005087</v>
      </c>
      <c r="F305" s="20">
        <v>2.4262245093774143E-2</v>
      </c>
      <c r="G305" s="20">
        <v>1.0746487343151654</v>
      </c>
      <c r="H305">
        <v>0.47499999999999998</v>
      </c>
    </row>
    <row r="306" spans="1:8" x14ac:dyDescent="0.25">
      <c r="A306" s="18">
        <v>870360</v>
      </c>
      <c r="B306" s="20">
        <v>2.0374319134529903E-2</v>
      </c>
      <c r="C306" s="20">
        <v>0.92146471167711519</v>
      </c>
      <c r="D306" s="20">
        <v>4.7771744195581591E-2</v>
      </c>
      <c r="E306" s="20">
        <v>0.94643987744530178</v>
      </c>
      <c r="F306" s="20">
        <v>3.1319758377152639E-2</v>
      </c>
      <c r="G306" s="20">
        <v>0.34256263142397164</v>
      </c>
      <c r="H306">
        <v>0.8</v>
      </c>
    </row>
    <row r="307" spans="1:8" x14ac:dyDescent="0.25">
      <c r="A307" s="18">
        <v>2037512.5</v>
      </c>
      <c r="B307" s="20">
        <v>1.2428363095485985E-3</v>
      </c>
      <c r="C307" s="20">
        <v>0.82898324136757429</v>
      </c>
      <c r="D307" s="20">
        <v>0.12694121520780693</v>
      </c>
      <c r="E307" s="20">
        <v>0.9349104364534826</v>
      </c>
      <c r="F307" s="20">
        <v>1.5888207685145352E-2</v>
      </c>
      <c r="G307" s="20">
        <v>1.2597934164984907</v>
      </c>
      <c r="H307">
        <v>0.55000000000000004</v>
      </c>
    </row>
    <row r="308" spans="1:8" x14ac:dyDescent="0.25">
      <c r="A308" s="18">
        <v>1557442.5</v>
      </c>
      <c r="B308" s="20">
        <v>2.5647991128225937E-3</v>
      </c>
      <c r="C308" s="20">
        <v>0.85754880795031241</v>
      </c>
      <c r="D308" s="20">
        <v>0.17275713033545292</v>
      </c>
      <c r="E308" s="20">
        <v>0.87074609820353355</v>
      </c>
      <c r="F308" s="20">
        <v>2.0717422792182194E-2</v>
      </c>
      <c r="G308" s="20">
        <v>1.2394857377549016</v>
      </c>
      <c r="H308">
        <v>0.55000000000000004</v>
      </c>
    </row>
    <row r="309" spans="1:8" x14ac:dyDescent="0.25">
      <c r="A309" s="18">
        <v>311705</v>
      </c>
      <c r="B309" s="20">
        <v>2.5535446619819927E-3</v>
      </c>
      <c r="C309" s="20">
        <v>0.92150393229422367</v>
      </c>
      <c r="D309" s="20">
        <v>7.4177451415976522E-2</v>
      </c>
      <c r="E309" s="20">
        <v>0.60588500254197142</v>
      </c>
      <c r="F309" s="20">
        <v>3.9573285408694064E-2</v>
      </c>
      <c r="G309" s="20">
        <v>0.31234120147397176</v>
      </c>
      <c r="H309">
        <v>0.625</v>
      </c>
    </row>
    <row r="310" spans="1:8" x14ac:dyDescent="0.25">
      <c r="A310" s="18">
        <v>1193118.75</v>
      </c>
      <c r="B310" s="20">
        <v>1.8529257593933399E-3</v>
      </c>
      <c r="C310" s="20">
        <v>0.87352138871995</v>
      </c>
      <c r="D310" s="20">
        <v>0.22513543577202635</v>
      </c>
      <c r="E310" s="20">
        <v>0.68359244497978333</v>
      </c>
      <c r="F310" s="20">
        <v>1.7731660741646476E-3</v>
      </c>
      <c r="G310" s="20">
        <v>0.47699317524652141</v>
      </c>
      <c r="H310">
        <v>0.625</v>
      </c>
    </row>
    <row r="311" spans="1:8" x14ac:dyDescent="0.25">
      <c r="A311" s="18">
        <v>-1170096</v>
      </c>
      <c r="B311" s="20">
        <v>6.0220478810585852E-4</v>
      </c>
      <c r="C311" s="20">
        <v>1.2373121407144783</v>
      </c>
      <c r="D311" s="20">
        <v>-0.23158445993887861</v>
      </c>
      <c r="E311" s="20">
        <v>0.45628133252069225</v>
      </c>
      <c r="F311" s="20">
        <v>7.4033654575980878E-2</v>
      </c>
      <c r="G311" s="20">
        <v>1.4670562783375742</v>
      </c>
      <c r="H311">
        <v>0.15</v>
      </c>
    </row>
    <row r="312" spans="1:8" x14ac:dyDescent="0.25">
      <c r="A312" s="18">
        <v>924380</v>
      </c>
      <c r="B312" s="20">
        <v>4.9343507334671651E-3</v>
      </c>
      <c r="C312" s="20">
        <v>0.89261051251539825</v>
      </c>
      <c r="D312" s="20">
        <v>4.1860158234278223E-2</v>
      </c>
      <c r="E312" s="20">
        <v>0.96523158378538687</v>
      </c>
      <c r="F312" s="20">
        <v>3.9319240561324085E-3</v>
      </c>
      <c r="G312" s="20">
        <v>0.69811161959942214</v>
      </c>
      <c r="H312">
        <v>0.75</v>
      </c>
    </row>
    <row r="313" spans="1:8" x14ac:dyDescent="0.25">
      <c r="A313" s="18">
        <v>-13802</v>
      </c>
      <c r="B313" s="20">
        <v>8.1284592330652626E-3</v>
      </c>
      <c r="C313" s="20">
        <v>1.018113501825529</v>
      </c>
      <c r="D313" s="20">
        <v>-2.2466496401812034E-2</v>
      </c>
      <c r="E313" s="20">
        <v>0.68598773269194047</v>
      </c>
      <c r="F313" s="20">
        <v>9.9544712429822713E-2</v>
      </c>
      <c r="G313" s="20">
        <v>1.4866082175654638</v>
      </c>
      <c r="H313">
        <v>0.375</v>
      </c>
    </row>
    <row r="314" spans="1:8" x14ac:dyDescent="0.25">
      <c r="A314" s="18">
        <v>45998.85</v>
      </c>
      <c r="B314" s="20">
        <v>6.3997981240858183E-5</v>
      </c>
      <c r="C314" s="20">
        <v>0.87042765797716737</v>
      </c>
      <c r="D314" s="20">
        <v>0.14843270506006834</v>
      </c>
      <c r="E314" s="20">
        <v>0.66937746644980267</v>
      </c>
      <c r="F314" s="20">
        <v>1.0200163280057567E-2</v>
      </c>
      <c r="G314" s="20">
        <v>0.59695089951524571</v>
      </c>
      <c r="H314">
        <v>0.57499999999999996</v>
      </c>
    </row>
    <row r="315" spans="1:8" x14ac:dyDescent="0.25">
      <c r="A315" s="18">
        <v>169211.25</v>
      </c>
      <c r="B315" s="20">
        <v>6.1926107292867359E-4</v>
      </c>
      <c r="C315" s="20">
        <v>0.76651747563967876</v>
      </c>
      <c r="D315" s="20">
        <v>0.10351793824574454</v>
      </c>
      <c r="E315" s="20">
        <v>0.92347395348416783</v>
      </c>
      <c r="F315" s="20">
        <v>4.1159715356831727E-3</v>
      </c>
      <c r="G315" s="20">
        <v>0.74020362393989603</v>
      </c>
      <c r="H315">
        <v>0.65</v>
      </c>
    </row>
    <row r="316" spans="1:8" x14ac:dyDescent="0.25">
      <c r="A316" s="18">
        <v>-589410</v>
      </c>
      <c r="B316" s="20">
        <v>8.75711293183495E-4</v>
      </c>
      <c r="C316" s="20">
        <v>1.1573979991244971</v>
      </c>
      <c r="D316" s="20">
        <v>-7.2446204013604021E-2</v>
      </c>
      <c r="E316" s="20">
        <v>0.96307952295789967</v>
      </c>
      <c r="F316" s="20">
        <v>1.1903026488999893E-2</v>
      </c>
      <c r="G316" s="20">
        <v>1.8927026369678634</v>
      </c>
      <c r="H316">
        <v>0.35</v>
      </c>
    </row>
    <row r="317" spans="1:8" x14ac:dyDescent="0.25">
      <c r="A317" s="18">
        <v>489890</v>
      </c>
      <c r="B317" s="20">
        <v>3.3067930176685424E-4</v>
      </c>
      <c r="C317" s="20">
        <v>0.81999822868583627</v>
      </c>
      <c r="D317" s="20">
        <v>0.20078273667661106</v>
      </c>
      <c r="E317" s="20">
        <v>0.87480871746404176</v>
      </c>
      <c r="F317" s="20">
        <v>4.8374913572312977E-3</v>
      </c>
      <c r="G317" s="20">
        <v>0.73213905440633875</v>
      </c>
      <c r="H317">
        <v>0.65</v>
      </c>
    </row>
    <row r="318" spans="1:8" x14ac:dyDescent="0.25">
      <c r="A318" s="18">
        <v>-1745496</v>
      </c>
      <c r="B318" s="20">
        <v>5.9119695138451847E-4</v>
      </c>
      <c r="C318" s="20">
        <v>1.2577768901923827</v>
      </c>
      <c r="D318" s="20">
        <v>-0.21667009268113935</v>
      </c>
      <c r="E318" s="20">
        <v>0.44405120253642499</v>
      </c>
      <c r="F318" s="20">
        <v>1.8289952045727861E-2</v>
      </c>
      <c r="G318" s="20">
        <v>1.5043423833407819</v>
      </c>
      <c r="H318">
        <v>0.2</v>
      </c>
    </row>
    <row r="319" spans="1:8" x14ac:dyDescent="0.25">
      <c r="A319" s="18">
        <v>54040</v>
      </c>
      <c r="B319" s="20">
        <v>2.1369966350969058E-4</v>
      </c>
      <c r="C319" s="20">
        <v>0.98143921594951999</v>
      </c>
      <c r="D319" s="20">
        <v>2.4793756231128828E-2</v>
      </c>
      <c r="E319" s="20">
        <v>0.3233103674565016</v>
      </c>
      <c r="F319" s="20">
        <v>1.1800433202528377E-3</v>
      </c>
      <c r="G319" s="20">
        <v>0.50405445168910135</v>
      </c>
      <c r="H319">
        <v>0.5</v>
      </c>
    </row>
    <row r="320" spans="1:8" x14ac:dyDescent="0.25">
      <c r="A320" s="18">
        <v>-1009729</v>
      </c>
      <c r="B320" s="20">
        <v>8.7750115558613492E-3</v>
      </c>
      <c r="C320" s="20">
        <v>1.1808136086525067</v>
      </c>
      <c r="D320" s="20">
        <v>-0.18394849954292014</v>
      </c>
      <c r="E320" s="20">
        <v>0.5488383914534215</v>
      </c>
      <c r="F320" s="20">
        <v>2.1872427901072543E-2</v>
      </c>
      <c r="G320" s="20">
        <v>1.2883162280213458</v>
      </c>
      <c r="H320">
        <v>0.42499999999999999</v>
      </c>
    </row>
    <row r="321" spans="1:8" x14ac:dyDescent="0.25">
      <c r="A321" s="18">
        <v>734813.75</v>
      </c>
      <c r="B321" s="20">
        <v>2.5800588442135689E-3</v>
      </c>
      <c r="C321" s="20">
        <v>0.81308401095403193</v>
      </c>
      <c r="D321" s="20">
        <v>0.1053985102196488</v>
      </c>
      <c r="E321" s="20">
        <v>0.600733933317674</v>
      </c>
      <c r="F321" s="20">
        <v>3.6682240912847622E-3</v>
      </c>
      <c r="G321" s="20">
        <v>0.52466521705722924</v>
      </c>
      <c r="H321">
        <v>0.625</v>
      </c>
    </row>
    <row r="322" spans="1:8" x14ac:dyDescent="0.25">
      <c r="A322" s="18">
        <v>-326292</v>
      </c>
      <c r="B322" s="20">
        <v>3.3745735062514757E-3</v>
      </c>
      <c r="C322" s="20">
        <v>1.2213890493891144</v>
      </c>
      <c r="D322" s="20">
        <v>-9.7892132405730387E-2</v>
      </c>
      <c r="E322" s="20">
        <v>0.9714859555973443</v>
      </c>
      <c r="F322" s="20">
        <v>1.7720620464727516E-2</v>
      </c>
      <c r="G322" s="20">
        <v>1.3725831641773154</v>
      </c>
      <c r="H322">
        <v>0.45</v>
      </c>
    </row>
    <row r="323" spans="1:8" x14ac:dyDescent="0.25">
      <c r="A323" s="18">
        <v>-1890572</v>
      </c>
      <c r="B323" s="20">
        <v>7.4251528326642795E-3</v>
      </c>
      <c r="C323" s="20">
        <v>1.1969728701943239</v>
      </c>
      <c r="D323" s="20">
        <v>-8.1303759014944743E-2</v>
      </c>
      <c r="E323" s="20">
        <v>0.71144256824811025</v>
      </c>
      <c r="F323" s="20">
        <v>1.7000675993185108E-3</v>
      </c>
      <c r="G323" s="20">
        <v>1.521819523332109</v>
      </c>
      <c r="H323">
        <v>0.5</v>
      </c>
    </row>
    <row r="324" spans="1:8" x14ac:dyDescent="0.25">
      <c r="A324" s="18">
        <v>1502456.25</v>
      </c>
      <c r="B324" s="20">
        <v>5.1800272902006337E-3</v>
      </c>
      <c r="C324" s="20">
        <v>0.8726660656481442</v>
      </c>
      <c r="D324" s="20">
        <v>7.7652477858062646E-2</v>
      </c>
      <c r="E324" s="20">
        <v>0.60800222053113318</v>
      </c>
      <c r="F324" s="20">
        <v>2.4332834671897743E-2</v>
      </c>
      <c r="G324" s="20">
        <v>0.61449060573255099</v>
      </c>
      <c r="H324">
        <v>0.72499999999999998</v>
      </c>
    </row>
    <row r="325" spans="1:8" x14ac:dyDescent="0.25">
      <c r="A325" s="18">
        <v>1479890</v>
      </c>
      <c r="B325" s="20">
        <v>3.0971927318260389E-3</v>
      </c>
      <c r="C325" s="20">
        <v>0.8387630893411655</v>
      </c>
      <c r="D325" s="20">
        <v>0.11015325242719892</v>
      </c>
      <c r="E325" s="20">
        <v>0.7816526693678586</v>
      </c>
      <c r="F325" s="20">
        <v>2.223541678389928E-2</v>
      </c>
      <c r="G325" s="20">
        <v>0.90067744117533655</v>
      </c>
      <c r="H325">
        <v>0.75</v>
      </c>
    </row>
    <row r="326" spans="1:8" x14ac:dyDescent="0.25">
      <c r="A326" s="18">
        <v>-14920</v>
      </c>
      <c r="B326" s="20">
        <v>9.9719826838064838E-5</v>
      </c>
      <c r="C326" s="20">
        <v>1.0683050614969594</v>
      </c>
      <c r="D326" s="20">
        <v>-6.0157166645834759E-2</v>
      </c>
      <c r="E326" s="20">
        <v>0.97095554267996675</v>
      </c>
      <c r="F326" s="20">
        <v>3.5005664934258537E-2</v>
      </c>
      <c r="G326" s="20">
        <v>0.86192710446461152</v>
      </c>
      <c r="H326">
        <v>0.5</v>
      </c>
    </row>
    <row r="327" spans="1:8" x14ac:dyDescent="0.25">
      <c r="A327" s="18">
        <v>-219129</v>
      </c>
      <c r="B327" s="20">
        <v>5.6476393244593332E-4</v>
      </c>
      <c r="C327" s="20">
        <v>1.0755567319292569</v>
      </c>
      <c r="D327" s="20">
        <v>-8.0737796426194941E-2</v>
      </c>
      <c r="E327" s="20">
        <v>0.44969812812596205</v>
      </c>
      <c r="F327" s="20">
        <v>3.5746893424738087E-2</v>
      </c>
      <c r="G327" s="20">
        <v>1.1361744947973162</v>
      </c>
      <c r="H327">
        <v>0.2</v>
      </c>
    </row>
    <row r="328" spans="1:8" x14ac:dyDescent="0.25">
      <c r="A328" s="18">
        <v>-184535</v>
      </c>
      <c r="B328" s="20">
        <v>5.5439828007440625E-3</v>
      </c>
      <c r="C328" s="20">
        <v>1.179642547250755</v>
      </c>
      <c r="D328" s="20">
        <v>-0.13202629436351071</v>
      </c>
      <c r="E328" s="20">
        <v>0.71355225185074012</v>
      </c>
      <c r="F328" s="20">
        <v>2.6715050432348821E-3</v>
      </c>
      <c r="G328" s="20">
        <v>1.0634524797253169</v>
      </c>
      <c r="H328">
        <v>0.57499999999999996</v>
      </c>
    </row>
    <row r="329" spans="1:8" x14ac:dyDescent="0.25">
      <c r="A329" s="18">
        <v>-227592</v>
      </c>
      <c r="B329" s="20">
        <v>3.2560526319160552E-3</v>
      </c>
      <c r="C329" s="20">
        <v>1.0317827598928451</v>
      </c>
      <c r="D329" s="20">
        <v>-3.1978629206704003E-2</v>
      </c>
      <c r="E329" s="20">
        <v>0.81739015484581112</v>
      </c>
      <c r="F329" s="20">
        <v>4.3385818440711633E-2</v>
      </c>
      <c r="G329" s="20">
        <v>2.2079584084475319</v>
      </c>
      <c r="H329">
        <v>0.45</v>
      </c>
    </row>
    <row r="330" spans="1:8" x14ac:dyDescent="0.25">
      <c r="A330" s="18">
        <v>-227481</v>
      </c>
      <c r="B330" s="20">
        <v>7.9207535904438599E-5</v>
      </c>
      <c r="C330" s="20">
        <v>1.2777356416597967</v>
      </c>
      <c r="D330" s="20">
        <v>-0.28726156876858672</v>
      </c>
      <c r="E330" s="20">
        <v>0.32781737819783341</v>
      </c>
      <c r="F330" s="20">
        <v>5.075167793710025E-3</v>
      </c>
      <c r="G330" s="20">
        <v>1.2646002695106082</v>
      </c>
      <c r="H330">
        <v>0.2</v>
      </c>
    </row>
    <row r="331" spans="1:8" x14ac:dyDescent="0.25">
      <c r="A331" s="18">
        <v>-266094</v>
      </c>
      <c r="B331" s="20">
        <v>2.1309098215763331E-4</v>
      </c>
      <c r="C331" s="20">
        <v>1.1726285977823825</v>
      </c>
      <c r="D331" s="20">
        <v>-0.2047483293129119</v>
      </c>
      <c r="E331" s="20">
        <v>0.87675512598318428</v>
      </c>
      <c r="F331" s="20">
        <v>1.4335784059125202E-2</v>
      </c>
      <c r="G331" s="20">
        <v>1.6502856799343439</v>
      </c>
      <c r="H331">
        <v>0.35</v>
      </c>
    </row>
    <row r="332" spans="1:8" x14ac:dyDescent="0.25">
      <c r="A332" s="18">
        <v>-166955</v>
      </c>
      <c r="B332" s="20">
        <v>3.3168252925485416E-4</v>
      </c>
      <c r="C332" s="20">
        <v>1.1061934468789101</v>
      </c>
      <c r="D332" s="20">
        <v>-9.8837780653594456E-2</v>
      </c>
      <c r="E332" s="20">
        <v>0.41300152028819459</v>
      </c>
      <c r="F332" s="20">
        <v>5.4287223046421286E-2</v>
      </c>
      <c r="G332" s="20">
        <v>0.77020683389962608</v>
      </c>
      <c r="H332">
        <v>0.3</v>
      </c>
    </row>
    <row r="333" spans="1:8" x14ac:dyDescent="0.25">
      <c r="A333" s="18">
        <v>578666.25</v>
      </c>
      <c r="B333" s="20">
        <v>1.4873191289186887E-2</v>
      </c>
      <c r="C333" s="20">
        <v>0.94073485164895321</v>
      </c>
      <c r="D333" s="20">
        <v>5.2809594110825579E-2</v>
      </c>
      <c r="E333" s="20">
        <v>0.63915718443646929</v>
      </c>
      <c r="F333" s="20">
        <v>2.7565350322703054E-3</v>
      </c>
      <c r="G333" s="20">
        <v>0.32341177343243671</v>
      </c>
      <c r="H333">
        <v>0.72499999999999998</v>
      </c>
    </row>
    <row r="334" spans="1:8" x14ac:dyDescent="0.25">
      <c r="A334" s="18">
        <v>-63559</v>
      </c>
      <c r="B334" s="20">
        <v>2.015516787228811E-4</v>
      </c>
      <c r="C334" s="20">
        <v>1.0729020608214623</v>
      </c>
      <c r="D334" s="20">
        <v>-4.3723128357880399E-2</v>
      </c>
      <c r="E334" s="20">
        <v>0.7686162084765783</v>
      </c>
      <c r="F334" s="20">
        <v>2.0239806833738057E-2</v>
      </c>
      <c r="G334" s="20">
        <v>1.484279424230408</v>
      </c>
      <c r="H334">
        <v>0.35</v>
      </c>
    </row>
    <row r="335" spans="1:8" x14ac:dyDescent="0.25">
      <c r="A335" s="18">
        <v>-50599</v>
      </c>
      <c r="B335" s="20">
        <v>1.0971714465784126E-3</v>
      </c>
      <c r="C335" s="20">
        <v>1.0064642153787482</v>
      </c>
      <c r="D335" s="20">
        <v>-5.286185753552314E-3</v>
      </c>
      <c r="E335" s="20">
        <v>0.99276320941161345</v>
      </c>
      <c r="F335" s="20">
        <v>1.1807441132561563E-3</v>
      </c>
      <c r="G335" s="20">
        <v>2.0079899730109347</v>
      </c>
      <c r="H335">
        <v>0.4</v>
      </c>
    </row>
    <row r="336" spans="1:8" x14ac:dyDescent="0.25">
      <c r="A336" s="18">
        <v>-1475008</v>
      </c>
      <c r="B336" s="20">
        <v>2.1814882879158462E-3</v>
      </c>
      <c r="C336" s="20">
        <v>1.2113362407962527</v>
      </c>
      <c r="D336" s="20">
        <v>-0.16318068517593937</v>
      </c>
      <c r="E336" s="20">
        <v>0.34979637058232133</v>
      </c>
      <c r="F336" s="20">
        <v>3.0683112682898282E-2</v>
      </c>
      <c r="G336" s="20">
        <v>0.51343696297917474</v>
      </c>
      <c r="H336">
        <v>0.4</v>
      </c>
    </row>
    <row r="337" spans="1:8" x14ac:dyDescent="0.25">
      <c r="A337" s="18">
        <v>1290537.5</v>
      </c>
      <c r="B337" s="20">
        <v>6.1352595831321011E-4</v>
      </c>
      <c r="C337" s="20">
        <v>0.82104701948665693</v>
      </c>
      <c r="D337" s="20">
        <v>0.17142949179041975</v>
      </c>
      <c r="E337" s="20">
        <v>0.57183577247938344</v>
      </c>
      <c r="F337" s="20">
        <v>2.7547739501161982E-2</v>
      </c>
      <c r="G337" s="20">
        <v>1.1736152895462144</v>
      </c>
      <c r="H337">
        <v>0.42499999999999999</v>
      </c>
    </row>
    <row r="338" spans="1:8" x14ac:dyDescent="0.25">
      <c r="A338" s="18">
        <v>1683186.25</v>
      </c>
      <c r="B338" s="20">
        <v>1.0210501167862392E-3</v>
      </c>
      <c r="C338" s="20">
        <v>0.80467016195510743</v>
      </c>
      <c r="D338" s="20">
        <v>0.22802019496211057</v>
      </c>
      <c r="E338" s="20">
        <v>0.77281525751026903</v>
      </c>
      <c r="F338" s="20">
        <v>6.9306133972170799E-3</v>
      </c>
      <c r="G338" s="20">
        <v>1.0243604470491365</v>
      </c>
      <c r="H338">
        <v>0.625</v>
      </c>
    </row>
    <row r="339" spans="1:8" x14ac:dyDescent="0.25">
      <c r="A339" s="18">
        <v>-287309</v>
      </c>
      <c r="B339" s="20">
        <v>1.7192952857509361E-4</v>
      </c>
      <c r="C339" s="20">
        <v>1.099302937125207</v>
      </c>
      <c r="D339" s="20">
        <v>-0.12132320494364961</v>
      </c>
      <c r="E339" s="20">
        <v>0.80244767092763047</v>
      </c>
      <c r="F339" s="20">
        <v>4.4069812075271241E-2</v>
      </c>
      <c r="G339" s="20">
        <v>1.9124449689909764</v>
      </c>
      <c r="H339">
        <v>0.35</v>
      </c>
    </row>
    <row r="340" spans="1:8" x14ac:dyDescent="0.25">
      <c r="A340" s="18">
        <v>-326182</v>
      </c>
      <c r="B340" s="20">
        <v>6.8349026856083679E-4</v>
      </c>
      <c r="C340" s="20">
        <v>1.1266528912799321</v>
      </c>
      <c r="D340" s="20">
        <v>-0.1103198369530293</v>
      </c>
      <c r="E340" s="20">
        <v>0.38974704947294336</v>
      </c>
      <c r="F340" s="20">
        <v>3.6730212866126831E-3</v>
      </c>
      <c r="G340" s="20">
        <v>0.71824292046015148</v>
      </c>
      <c r="H340">
        <v>0.35</v>
      </c>
    </row>
    <row r="341" spans="1:8" x14ac:dyDescent="0.25">
      <c r="A341" s="18">
        <v>-155781</v>
      </c>
      <c r="B341" s="20">
        <v>3.0746616581744501E-4</v>
      </c>
      <c r="C341" s="20">
        <v>1.070997730723628</v>
      </c>
      <c r="D341" s="20">
        <v>-0.10260684796526486</v>
      </c>
      <c r="E341" s="20">
        <v>0.33523128859511198</v>
      </c>
      <c r="F341" s="20">
        <v>2.9073290511595067E-2</v>
      </c>
      <c r="G341" s="20">
        <v>0.87310451887322305</v>
      </c>
      <c r="H341">
        <v>0.35</v>
      </c>
    </row>
    <row r="342" spans="1:8" x14ac:dyDescent="0.25">
      <c r="A342" s="18">
        <v>170927.5</v>
      </c>
      <c r="B342" s="20">
        <v>2.2583269748003092E-3</v>
      </c>
      <c r="C342" s="20">
        <v>0.95988244086114227</v>
      </c>
      <c r="D342" s="20">
        <v>2.1355972269439773E-2</v>
      </c>
      <c r="E342" s="20">
        <v>0.72103429171152256</v>
      </c>
      <c r="F342" s="20">
        <v>4.8190013335027543E-4</v>
      </c>
      <c r="G342" s="20">
        <v>0.96076647990999831</v>
      </c>
      <c r="H342">
        <v>0.75</v>
      </c>
    </row>
    <row r="343" spans="1:8" x14ac:dyDescent="0.25">
      <c r="A343" s="18">
        <v>-1325424</v>
      </c>
      <c r="B343" s="20">
        <v>2.6655344690035107E-3</v>
      </c>
      <c r="C343" s="20">
        <v>1.1643818735489528</v>
      </c>
      <c r="D343" s="20">
        <v>-7.5163705218888918E-2</v>
      </c>
      <c r="E343" s="20">
        <v>0.77271053157992875</v>
      </c>
      <c r="F343" s="20">
        <v>8.2193148056888387E-3</v>
      </c>
      <c r="G343" s="20">
        <v>1.6989571766044365</v>
      </c>
      <c r="H343">
        <v>0.4</v>
      </c>
    </row>
    <row r="344" spans="1:8" x14ac:dyDescent="0.25">
      <c r="A344" s="18">
        <v>-16542</v>
      </c>
      <c r="B344" s="20">
        <v>6.4571562505967251E-3</v>
      </c>
      <c r="C344" s="20">
        <v>1.0019179155642373</v>
      </c>
      <c r="D344" s="20">
        <v>-7.2898098224260144E-4</v>
      </c>
      <c r="E344" s="20">
        <v>0.95625172433947925</v>
      </c>
      <c r="F344" s="20">
        <v>1.08232214507788E-4</v>
      </c>
      <c r="G344" s="20">
        <v>18.689814178048252</v>
      </c>
      <c r="H344">
        <v>0.55000000000000004</v>
      </c>
    </row>
    <row r="345" spans="1:8" x14ac:dyDescent="0.25">
      <c r="A345" s="18">
        <v>243580</v>
      </c>
      <c r="B345" s="20">
        <v>2.5215534424156798E-4</v>
      </c>
      <c r="C345" s="20">
        <v>0.93440503514803708</v>
      </c>
      <c r="D345" s="20">
        <v>9.2233778055797688E-2</v>
      </c>
      <c r="E345" s="20">
        <v>0.39292499395562497</v>
      </c>
      <c r="F345" s="20">
        <v>1.2230688197726683E-4</v>
      </c>
      <c r="G345" s="20">
        <v>0.53395410216282357</v>
      </c>
      <c r="H345">
        <v>0.55000000000000004</v>
      </c>
    </row>
    <row r="346" spans="1:8" x14ac:dyDescent="0.25">
      <c r="A346" s="18">
        <v>-188263</v>
      </c>
      <c r="B346" s="20">
        <v>2.622101842359013E-4</v>
      </c>
      <c r="C346" s="20">
        <v>1.2100323743941674</v>
      </c>
      <c r="D346" s="20">
        <v>-0.20324609918588421</v>
      </c>
      <c r="E346" s="20">
        <v>0.70727477917730563</v>
      </c>
      <c r="F346" s="20">
        <v>6.5530870221887309E-3</v>
      </c>
      <c r="G346" s="20">
        <v>0.75502046913614085</v>
      </c>
      <c r="H346">
        <v>0.5</v>
      </c>
    </row>
    <row r="347" spans="1:8" x14ac:dyDescent="0.25">
      <c r="A347" s="18">
        <v>2533061.25</v>
      </c>
      <c r="B347" s="20">
        <v>1.6007779875189945E-2</v>
      </c>
      <c r="C347" s="20">
        <v>0.78184429204422701</v>
      </c>
      <c r="D347" s="20">
        <v>7.6270872963318845E-2</v>
      </c>
      <c r="E347" s="20">
        <v>0.96941046362743122</v>
      </c>
      <c r="F347" s="20">
        <v>1.8504408006604002E-2</v>
      </c>
      <c r="G347" s="20">
        <v>0.50894939818361262</v>
      </c>
      <c r="H347">
        <v>0.8</v>
      </c>
    </row>
    <row r="348" spans="1:8" x14ac:dyDescent="0.25">
      <c r="A348" s="18">
        <v>353650</v>
      </c>
      <c r="B348" s="20">
        <v>3.6675674669372476E-3</v>
      </c>
      <c r="C348" s="20">
        <v>0.96497919161669243</v>
      </c>
      <c r="D348" s="20">
        <v>2.3215251629301697E-2</v>
      </c>
      <c r="E348" s="20">
        <v>0.64908353581437861</v>
      </c>
      <c r="F348" s="20">
        <v>3.4002055992311694E-2</v>
      </c>
      <c r="G348" s="20">
        <v>1.7056770030974813</v>
      </c>
      <c r="H348">
        <v>0.52500000000000002</v>
      </c>
    </row>
    <row r="349" spans="1:8" x14ac:dyDescent="0.25">
      <c r="A349" s="18">
        <v>-701312</v>
      </c>
      <c r="B349" s="20">
        <v>9.8233207894627404E-4</v>
      </c>
      <c r="C349" s="20">
        <v>1.1223224683058066</v>
      </c>
      <c r="D349" s="20">
        <v>-9.3046890558270465E-2</v>
      </c>
      <c r="E349" s="20">
        <v>0.6488297898806612</v>
      </c>
      <c r="F349" s="20">
        <v>1.1972500623242963E-2</v>
      </c>
      <c r="G349" s="20">
        <v>2.1590227705773861</v>
      </c>
      <c r="H349">
        <v>0.27500000000000002</v>
      </c>
    </row>
    <row r="350" spans="1:8" x14ac:dyDescent="0.25">
      <c r="A350" s="18">
        <v>-436820</v>
      </c>
      <c r="B350" s="20">
        <v>4.2540162827321015E-4</v>
      </c>
      <c r="C350" s="20">
        <v>1.1649766935044494</v>
      </c>
      <c r="D350" s="20">
        <v>-9.5367799820625918E-2</v>
      </c>
      <c r="E350" s="20">
        <v>0.87411779479136809</v>
      </c>
      <c r="F350" s="20">
        <v>1.9197785682036308E-2</v>
      </c>
      <c r="G350" s="20">
        <v>1.6059250119014925</v>
      </c>
      <c r="H350">
        <v>0.35</v>
      </c>
    </row>
    <row r="351" spans="1:8" x14ac:dyDescent="0.25">
      <c r="A351" s="18">
        <v>2097810</v>
      </c>
      <c r="B351" s="20">
        <v>1.3050171897174118E-3</v>
      </c>
      <c r="C351" s="20">
        <v>0.83532705356023573</v>
      </c>
      <c r="D351" s="20">
        <v>0.18583364079568451</v>
      </c>
      <c r="E351" s="20">
        <v>0.37536677885905329</v>
      </c>
      <c r="F351" s="20">
        <v>1.4501740465751204E-2</v>
      </c>
      <c r="G351" s="20">
        <v>1.0004486217695587</v>
      </c>
      <c r="H351">
        <v>0.47499999999999998</v>
      </c>
    </row>
    <row r="352" spans="1:8" x14ac:dyDescent="0.25">
      <c r="A352" s="18">
        <v>-1091947</v>
      </c>
      <c r="B352" s="20">
        <v>1.0308162453347165E-3</v>
      </c>
      <c r="C352" s="20">
        <v>1.1527047001519419</v>
      </c>
      <c r="D352" s="20">
        <v>-9.5524194338534582E-2</v>
      </c>
      <c r="E352" s="20">
        <v>0.766812501257773</v>
      </c>
      <c r="F352" s="20">
        <v>4.5653420701972446E-2</v>
      </c>
      <c r="G352" s="20">
        <v>1.841950741675811</v>
      </c>
      <c r="H352">
        <v>0.4</v>
      </c>
    </row>
    <row r="353" spans="1:8" x14ac:dyDescent="0.25">
      <c r="A353" s="18">
        <v>319665</v>
      </c>
      <c r="B353" s="20">
        <v>8.3469257283217313E-4</v>
      </c>
      <c r="C353" s="20">
        <v>0.93199971983279828</v>
      </c>
      <c r="D353" s="20">
        <v>7.6653806504800803E-2</v>
      </c>
      <c r="E353" s="20">
        <v>0.49068292140529518</v>
      </c>
      <c r="F353" s="20">
        <v>8.117992164964968E-3</v>
      </c>
      <c r="G353" s="20">
        <v>0.66813285060899819</v>
      </c>
      <c r="H353">
        <v>0.5</v>
      </c>
    </row>
    <row r="354" spans="1:8" x14ac:dyDescent="0.25">
      <c r="A354" s="18">
        <v>440493.75</v>
      </c>
      <c r="B354" s="20">
        <v>7.308088483607522E-4</v>
      </c>
      <c r="C354" s="20">
        <v>0.88767605992597143</v>
      </c>
      <c r="D354" s="20">
        <v>0.11740491998894433</v>
      </c>
      <c r="E354" s="20">
        <v>0.84393842535504893</v>
      </c>
      <c r="F354" s="20">
        <v>1.5470749768318559E-2</v>
      </c>
      <c r="G354" s="20">
        <v>0.99153462916444812</v>
      </c>
      <c r="H354">
        <v>0.65</v>
      </c>
    </row>
    <row r="355" spans="1:8" x14ac:dyDescent="0.25">
      <c r="A355" s="18">
        <v>247941.25</v>
      </c>
      <c r="B355" s="20">
        <v>1.8459295823891657E-4</v>
      </c>
      <c r="C355" s="20">
        <v>0.81582159720074021</v>
      </c>
      <c r="D355" s="20">
        <v>0.15498933883259122</v>
      </c>
      <c r="E355" s="20">
        <v>0.94210442627971069</v>
      </c>
      <c r="F355" s="20">
        <v>1.0391747112483286E-2</v>
      </c>
      <c r="G355" s="20">
        <v>1.0348657483683765</v>
      </c>
      <c r="H355">
        <v>0.57499999999999996</v>
      </c>
    </row>
    <row r="356" spans="1:8" x14ac:dyDescent="0.25">
      <c r="A356" s="18">
        <v>47577.8</v>
      </c>
      <c r="B356" s="20">
        <v>1.1232341824822434E-3</v>
      </c>
      <c r="C356" s="20">
        <v>0.9835929981672521</v>
      </c>
      <c r="D356" s="20">
        <v>1.7320120700394289E-2</v>
      </c>
      <c r="E356" s="20">
        <v>0.91615099897344499</v>
      </c>
      <c r="F356" s="20">
        <v>3.2948703060502731E-2</v>
      </c>
      <c r="G356" s="20">
        <v>-2.3416155535848362</v>
      </c>
      <c r="H356">
        <v>0.7</v>
      </c>
    </row>
    <row r="357" spans="1:8" x14ac:dyDescent="0.25">
      <c r="A357" s="18">
        <v>263276.25</v>
      </c>
      <c r="B357" s="20">
        <v>1.6571674128648955E-3</v>
      </c>
      <c r="C357" s="20">
        <v>0.97370014439688835</v>
      </c>
      <c r="D357" s="20">
        <v>2.1136928107408724E-2</v>
      </c>
      <c r="E357" s="20">
        <v>0.65480875974787667</v>
      </c>
      <c r="F357" s="20">
        <v>6.6072467105146956E-2</v>
      </c>
      <c r="G357" s="20">
        <v>0.40755816898827985</v>
      </c>
      <c r="H357">
        <v>0.57499999999999996</v>
      </c>
    </row>
    <row r="358" spans="1:8" x14ac:dyDescent="0.25">
      <c r="A358" s="18">
        <v>-1080040</v>
      </c>
      <c r="B358" s="20">
        <v>3.350234029403037E-3</v>
      </c>
      <c r="C358" s="20">
        <v>1.1988221504668153</v>
      </c>
      <c r="D358" s="20">
        <v>-0.14408402242077806</v>
      </c>
      <c r="E358" s="20">
        <v>0.54475432871214025</v>
      </c>
      <c r="F358" s="20">
        <v>2.1456651525953375E-2</v>
      </c>
      <c r="G358" s="20">
        <v>0.73121556487878281</v>
      </c>
      <c r="H358">
        <v>0.52500000000000002</v>
      </c>
    </row>
    <row r="359" spans="1:8" x14ac:dyDescent="0.25">
      <c r="A359" s="18">
        <v>577701.25</v>
      </c>
      <c r="B359" s="20">
        <v>7.4666897966520348E-4</v>
      </c>
      <c r="C359" s="20">
        <v>0.80949849758511727</v>
      </c>
      <c r="D359" s="20">
        <v>0.14759257537117779</v>
      </c>
      <c r="E359" s="20">
        <v>0.78342247380727159</v>
      </c>
      <c r="F359" s="20">
        <v>2.5839502810563282E-3</v>
      </c>
      <c r="G359" s="20">
        <v>1.0992073278060071</v>
      </c>
      <c r="H359">
        <v>0.57499999999999996</v>
      </c>
    </row>
    <row r="360" spans="1:8" x14ac:dyDescent="0.25">
      <c r="A360" s="18">
        <v>-7925</v>
      </c>
      <c r="B360" s="20">
        <v>8.8099521165637242E-4</v>
      </c>
      <c r="C360" s="20">
        <v>1.0068089000587328</v>
      </c>
      <c r="D360" s="20">
        <v>-6.6835787211720595E-3</v>
      </c>
      <c r="E360" s="20">
        <v>0.33890611258418407</v>
      </c>
      <c r="F360" s="20">
        <v>1.9844957840744446E-2</v>
      </c>
      <c r="G360" s="20">
        <v>2.7166744988708817</v>
      </c>
      <c r="H360">
        <v>0.2</v>
      </c>
    </row>
    <row r="361" spans="1:8" x14ac:dyDescent="0.25">
      <c r="A361" s="18">
        <v>-1693842</v>
      </c>
      <c r="B361" s="20">
        <v>2.4870189035648706E-3</v>
      </c>
      <c r="C361" s="20">
        <v>1.206174427160791</v>
      </c>
      <c r="D361" s="20">
        <v>-0.11516110188588116</v>
      </c>
      <c r="E361" s="20">
        <v>0.90442290162928818</v>
      </c>
      <c r="F361" s="20">
        <v>3.4777001746478353E-2</v>
      </c>
      <c r="G361" s="20">
        <v>1.2577844327053194</v>
      </c>
      <c r="H361">
        <v>0.4</v>
      </c>
    </row>
    <row r="362" spans="1:8" x14ac:dyDescent="0.25">
      <c r="A362" s="18">
        <v>-236354</v>
      </c>
      <c r="B362" s="20">
        <v>4.9985596681301116E-4</v>
      </c>
      <c r="C362" s="20">
        <v>1.0605571553888111</v>
      </c>
      <c r="D362" s="20">
        <v>-6.8663146656595661E-2</v>
      </c>
      <c r="E362" s="20">
        <v>0.39026273100751041</v>
      </c>
      <c r="F362" s="20">
        <v>9.1789467568215329E-3</v>
      </c>
      <c r="G362" s="20">
        <v>1.696162053693052</v>
      </c>
      <c r="H362">
        <v>0.2</v>
      </c>
    </row>
    <row r="363" spans="1:8" x14ac:dyDescent="0.25">
      <c r="A363" s="18">
        <v>-982876</v>
      </c>
      <c r="B363" s="20">
        <v>5.0326706596338757E-3</v>
      </c>
      <c r="C363" s="20">
        <v>1.1442969565487509</v>
      </c>
      <c r="D363" s="20">
        <v>-5.1304871492748268E-2</v>
      </c>
      <c r="E363" s="20">
        <v>0.83393925701598426</v>
      </c>
      <c r="F363" s="20">
        <v>3.6956173482871539E-3</v>
      </c>
      <c r="G363" s="20">
        <v>1.1707488770003018</v>
      </c>
      <c r="H363">
        <v>0.5</v>
      </c>
    </row>
    <row r="364" spans="1:8" x14ac:dyDescent="0.25">
      <c r="A364" s="18">
        <v>-152457</v>
      </c>
      <c r="B364" s="20">
        <v>2.6844616581257394E-4</v>
      </c>
      <c r="C364" s="20">
        <v>1.0576626956569004</v>
      </c>
      <c r="D364" s="20">
        <v>-5.3744757086261925E-2</v>
      </c>
      <c r="E364" s="20">
        <v>0.42343103079476963</v>
      </c>
      <c r="F364" s="20">
        <v>6.5417885518524082E-3</v>
      </c>
      <c r="G364" s="20">
        <v>1.832474995847335</v>
      </c>
      <c r="H364">
        <v>0.2</v>
      </c>
    </row>
    <row r="365" spans="1:8" x14ac:dyDescent="0.25">
      <c r="A365" s="18">
        <v>-657730</v>
      </c>
      <c r="B365" s="20">
        <v>2.3362585493694309E-3</v>
      </c>
      <c r="C365" s="20">
        <v>1.1436323975617091</v>
      </c>
      <c r="D365" s="20">
        <v>-0.11265972388749958</v>
      </c>
      <c r="E365" s="20">
        <v>0.68229478799800669</v>
      </c>
      <c r="F365" s="20">
        <v>9.2660409030180541E-3</v>
      </c>
      <c r="G365" s="20">
        <v>1.7975380342433107</v>
      </c>
      <c r="H365">
        <v>0.32500000000000001</v>
      </c>
    </row>
    <row r="366" spans="1:8" x14ac:dyDescent="0.25">
      <c r="A366" s="18">
        <v>-1401094</v>
      </c>
      <c r="B366" s="20">
        <v>3.3366602091040474E-3</v>
      </c>
      <c r="C366" s="20">
        <v>1.1789570160075413</v>
      </c>
      <c r="D366" s="20">
        <v>-0.1510931302099234</v>
      </c>
      <c r="E366" s="20">
        <v>0.95054067673464304</v>
      </c>
      <c r="F366" s="20">
        <v>5.6868026902478351E-2</v>
      </c>
      <c r="G366" s="20">
        <v>1.5452588375500673</v>
      </c>
      <c r="H366">
        <v>0.4</v>
      </c>
    </row>
    <row r="367" spans="1:8" x14ac:dyDescent="0.25">
      <c r="A367" s="18">
        <v>-1061066</v>
      </c>
      <c r="B367" s="20">
        <v>7.1864550071408897E-4</v>
      </c>
      <c r="C367" s="20">
        <v>1.2106640909234712</v>
      </c>
      <c r="D367" s="20">
        <v>-0.16253940301351674</v>
      </c>
      <c r="E367" s="20">
        <v>0.60899815315001404</v>
      </c>
      <c r="F367" s="20">
        <v>6.2661246368366438E-2</v>
      </c>
      <c r="G367" s="20">
        <v>1.1102517131395933</v>
      </c>
      <c r="H367">
        <v>0.22500000000000001</v>
      </c>
    </row>
    <row r="368" spans="1:8" x14ac:dyDescent="0.25">
      <c r="A368" s="18">
        <v>411215</v>
      </c>
      <c r="B368" s="20">
        <v>2.4692238009357821E-3</v>
      </c>
      <c r="C368" s="20">
        <v>0.95576401836686875</v>
      </c>
      <c r="D368" s="20">
        <v>3.9620596524517868E-2</v>
      </c>
      <c r="E368" s="20">
        <v>0.53391587542870533</v>
      </c>
      <c r="F368" s="20">
        <v>1.4905356765543363E-3</v>
      </c>
      <c r="G368" s="20">
        <v>0.43579915673873426</v>
      </c>
      <c r="H368">
        <v>0.625</v>
      </c>
    </row>
    <row r="369" spans="1:8" x14ac:dyDescent="0.25">
      <c r="A369" s="18">
        <v>-2097115</v>
      </c>
      <c r="B369" s="20">
        <v>2.4202433071460745E-3</v>
      </c>
      <c r="C369" s="20">
        <v>1.2263000349718742</v>
      </c>
      <c r="D369" s="20">
        <v>-0.13841655262943037</v>
      </c>
      <c r="E369" s="20">
        <v>0.79025718176373194</v>
      </c>
      <c r="F369" s="20">
        <v>1.8654254346302128E-2</v>
      </c>
      <c r="G369" s="20">
        <v>0.9270001383508949</v>
      </c>
      <c r="H369">
        <v>0.55000000000000004</v>
      </c>
    </row>
    <row r="370" spans="1:8" x14ac:dyDescent="0.25">
      <c r="A370" s="18">
        <v>1298773.75</v>
      </c>
      <c r="B370" s="20">
        <v>1.4986958167520631E-3</v>
      </c>
      <c r="C370" s="20">
        <v>0.87833222544604816</v>
      </c>
      <c r="D370" s="20">
        <v>7.0654352606617843E-2</v>
      </c>
      <c r="E370" s="20">
        <v>0.80707080100146256</v>
      </c>
      <c r="F370" s="20">
        <v>2.7319382896720538E-2</v>
      </c>
      <c r="G370" s="20">
        <v>1.2001799116106815</v>
      </c>
      <c r="H370">
        <v>0.55000000000000004</v>
      </c>
    </row>
    <row r="371" spans="1:8" x14ac:dyDescent="0.25">
      <c r="A371" s="18">
        <v>1496960</v>
      </c>
      <c r="B371" s="20">
        <v>1.5641459138810703E-3</v>
      </c>
      <c r="C371" s="20">
        <v>0.86142945844941521</v>
      </c>
      <c r="D371" s="20">
        <v>0.2213381274944638</v>
      </c>
      <c r="E371" s="20">
        <v>0.83935852474442185</v>
      </c>
      <c r="F371" s="20">
        <v>4.5158916002671504E-3</v>
      </c>
      <c r="G371" s="20">
        <v>0.66270075864417466</v>
      </c>
      <c r="H371">
        <v>0.7</v>
      </c>
    </row>
    <row r="372" spans="1:8" x14ac:dyDescent="0.25">
      <c r="A372" s="18">
        <v>-427429</v>
      </c>
      <c r="B372" s="20">
        <v>2.046165889569177E-3</v>
      </c>
      <c r="C372" s="20">
        <v>1.146597610031183</v>
      </c>
      <c r="D372" s="20">
        <v>-0.15803620979898522</v>
      </c>
      <c r="E372" s="20">
        <v>0.64511110082819356</v>
      </c>
      <c r="F372" s="20">
        <v>2.5390192436886862E-2</v>
      </c>
      <c r="G372" s="20">
        <v>1.014395496220355</v>
      </c>
      <c r="H372">
        <v>0.4</v>
      </c>
    </row>
    <row r="373" spans="1:8" x14ac:dyDescent="0.25">
      <c r="A373" s="18">
        <v>34067.599999999999</v>
      </c>
      <c r="B373" s="20">
        <v>6.4439356068220655E-4</v>
      </c>
      <c r="C373" s="20">
        <v>0.98697813701151804</v>
      </c>
      <c r="D373" s="20">
        <v>1.2500160528485458E-2</v>
      </c>
      <c r="E373" s="20">
        <v>0.9211891143531028</v>
      </c>
      <c r="F373" s="20">
        <v>2.3483024158528026E-2</v>
      </c>
      <c r="G373" s="20">
        <v>-1.599574693722267</v>
      </c>
      <c r="H373">
        <v>0.65</v>
      </c>
    </row>
    <row r="374" spans="1:8" x14ac:dyDescent="0.25">
      <c r="A374" s="18">
        <v>1261981.25</v>
      </c>
      <c r="B374" s="20">
        <v>3.0621559306846717E-3</v>
      </c>
      <c r="C374" s="20">
        <v>0.86336971716112543</v>
      </c>
      <c r="D374" s="20">
        <v>7.6917508220909397E-2</v>
      </c>
      <c r="E374" s="20">
        <v>0.78650932719259214</v>
      </c>
      <c r="F374" s="20">
        <v>3.7212414450856907E-2</v>
      </c>
      <c r="G374" s="20">
        <v>0.96648353168943679</v>
      </c>
      <c r="H374">
        <v>0.75</v>
      </c>
    </row>
    <row r="375" spans="1:8" x14ac:dyDescent="0.25">
      <c r="A375" s="18">
        <v>-1957937</v>
      </c>
      <c r="B375" s="20">
        <v>0.58275672369394238</v>
      </c>
      <c r="C375" s="20">
        <v>1.2622384955496746</v>
      </c>
      <c r="D375" s="20">
        <v>-0.117465145386093</v>
      </c>
      <c r="E375" s="20">
        <v>0.89863244091190586</v>
      </c>
      <c r="F375" s="20">
        <v>8.4855999776341088E-4</v>
      </c>
      <c r="G375" s="20">
        <v>0.75555975487917459</v>
      </c>
      <c r="H375">
        <v>0.65</v>
      </c>
    </row>
    <row r="376" spans="1:8" x14ac:dyDescent="0.25">
      <c r="A376" s="18">
        <v>589260</v>
      </c>
      <c r="B376" s="20">
        <v>6.2648082606629935E-4</v>
      </c>
      <c r="C376" s="20">
        <v>0.89369207432398523</v>
      </c>
      <c r="D376" s="20">
        <v>8.2095375583626562E-2</v>
      </c>
      <c r="E376" s="20">
        <v>0.84647808343490127</v>
      </c>
      <c r="F376" s="20">
        <v>1.8481142207675414E-2</v>
      </c>
      <c r="G376" s="20">
        <v>1.022461871969284</v>
      </c>
      <c r="H376">
        <v>0.57499999999999996</v>
      </c>
    </row>
    <row r="377" spans="1:8" x14ac:dyDescent="0.25">
      <c r="A377" s="18">
        <v>-648300</v>
      </c>
      <c r="B377" s="20">
        <v>2.7229099339061255E-3</v>
      </c>
      <c r="C377" s="20">
        <v>1.0647310873375062</v>
      </c>
      <c r="D377" s="20">
        <v>-7.4316101007995947E-2</v>
      </c>
      <c r="E377" s="20">
        <v>0.34526593031440306</v>
      </c>
      <c r="F377" s="20">
        <v>5.6504080278354664E-2</v>
      </c>
      <c r="G377" s="20">
        <v>2.5154668139306748</v>
      </c>
      <c r="H377">
        <v>0.2</v>
      </c>
    </row>
    <row r="378" spans="1:8" x14ac:dyDescent="0.25">
      <c r="A378" s="18">
        <v>-432620</v>
      </c>
      <c r="B378" s="20">
        <v>1.5734208473760975E-3</v>
      </c>
      <c r="C378" s="20">
        <v>1.1479021575464357</v>
      </c>
      <c r="D378" s="20">
        <v>-6.935978395891064E-2</v>
      </c>
      <c r="E378" s="20">
        <v>0.66641259502979033</v>
      </c>
      <c r="F378" s="20">
        <v>3.419442800222916E-2</v>
      </c>
      <c r="G378" s="20">
        <v>0.55731091784479336</v>
      </c>
      <c r="H378">
        <v>0.47499999999999998</v>
      </c>
    </row>
    <row r="379" spans="1:8" x14ac:dyDescent="0.25">
      <c r="A379" s="18">
        <v>37077.15</v>
      </c>
      <c r="B379" s="20">
        <v>7.2731646549624874E-4</v>
      </c>
      <c r="C379" s="20">
        <v>0.97879721708181811</v>
      </c>
      <c r="D379" s="20">
        <v>2.2316354426356991E-2</v>
      </c>
      <c r="E379" s="20">
        <v>0.84872785378517523</v>
      </c>
      <c r="F379" s="20">
        <v>4.799167466176809E-2</v>
      </c>
      <c r="G379" s="20">
        <v>0.13603015586882666</v>
      </c>
      <c r="H379">
        <v>0.65</v>
      </c>
    </row>
    <row r="380" spans="1:8" x14ac:dyDescent="0.25">
      <c r="A380" s="18">
        <v>91510</v>
      </c>
      <c r="B380" s="20">
        <v>9.9331579588347223E-4</v>
      </c>
      <c r="C380" s="20">
        <v>0.95397000709040514</v>
      </c>
      <c r="D380" s="20">
        <v>3.9381074620057195E-2</v>
      </c>
      <c r="E380" s="20">
        <v>0.86428870312340178</v>
      </c>
      <c r="F380" s="20">
        <v>1.1416251202282561E-2</v>
      </c>
      <c r="G380" s="20">
        <v>0.70500738984592515</v>
      </c>
      <c r="H380">
        <v>0.65</v>
      </c>
    </row>
    <row r="381" spans="1:8" x14ac:dyDescent="0.25">
      <c r="A381" s="18">
        <v>-238030</v>
      </c>
      <c r="B381" s="20">
        <v>2.5431974083486254E-3</v>
      </c>
      <c r="C381" s="20">
        <v>1.0260020293998682</v>
      </c>
      <c r="D381" s="20">
        <v>-1.3725894413313592E-2</v>
      </c>
      <c r="E381" s="20">
        <v>0.91992931975569592</v>
      </c>
      <c r="F381" s="20">
        <v>8.4726533048278213E-4</v>
      </c>
      <c r="G381" s="20">
        <v>1.1495893473603789</v>
      </c>
      <c r="H381">
        <v>0.4</v>
      </c>
    </row>
    <row r="382" spans="1:8" x14ac:dyDescent="0.25">
      <c r="A382" s="18">
        <v>-722493</v>
      </c>
      <c r="B382" s="20">
        <v>9.1930612426343922E-4</v>
      </c>
      <c r="C382" s="20">
        <v>1.2065398572966306</v>
      </c>
      <c r="D382" s="20">
        <v>-0.11216195069607837</v>
      </c>
      <c r="E382" s="20">
        <v>0.8324102516918569</v>
      </c>
      <c r="F382" s="20">
        <v>2.3352577250448498E-2</v>
      </c>
      <c r="G382" s="20">
        <v>1.1907503114312192</v>
      </c>
      <c r="H382">
        <v>0.35</v>
      </c>
    </row>
    <row r="383" spans="1:8" x14ac:dyDescent="0.25">
      <c r="A383" s="18">
        <v>249601.25</v>
      </c>
      <c r="B383" s="20">
        <v>1.9063817632557108E-3</v>
      </c>
      <c r="C383" s="20">
        <v>0.94368791927834972</v>
      </c>
      <c r="D383" s="20">
        <v>7.8764430211940267E-2</v>
      </c>
      <c r="E383" s="20">
        <v>0.61594276420185301</v>
      </c>
      <c r="F383" s="20">
        <v>6.4683702124262261E-3</v>
      </c>
      <c r="G383" s="20">
        <v>1.4291290136458117</v>
      </c>
      <c r="H383">
        <v>0.47499999999999998</v>
      </c>
    </row>
    <row r="384" spans="1:8" x14ac:dyDescent="0.25">
      <c r="A384" s="18">
        <v>442805</v>
      </c>
      <c r="B384" s="20">
        <v>4.6091596775277652E-4</v>
      </c>
      <c r="C384" s="20">
        <v>0.92537508178617223</v>
      </c>
      <c r="D384" s="20">
        <v>0.15179973905000765</v>
      </c>
      <c r="E384" s="20">
        <v>0.30686153111073639</v>
      </c>
      <c r="F384" s="20">
        <v>7.8434807410540985E-2</v>
      </c>
      <c r="G384" s="20">
        <v>0.42938723198988649</v>
      </c>
      <c r="H384">
        <v>0.45</v>
      </c>
    </row>
    <row r="385" spans="1:8" x14ac:dyDescent="0.25">
      <c r="A385" s="18">
        <v>-2653499</v>
      </c>
      <c r="B385" s="20">
        <v>1.2221902831523626E-3</v>
      </c>
      <c r="C385" s="20">
        <v>1.2639865592619286</v>
      </c>
      <c r="D385" s="20">
        <v>-0.33382792136025213</v>
      </c>
      <c r="E385" s="20">
        <v>0.4788525880151171</v>
      </c>
      <c r="F385" s="20">
        <v>3.8490682064734334E-2</v>
      </c>
      <c r="G385" s="20">
        <v>0.8967913550399399</v>
      </c>
      <c r="H385">
        <v>0.4</v>
      </c>
    </row>
    <row r="386" spans="1:8" x14ac:dyDescent="0.25">
      <c r="A386" s="18">
        <v>979120</v>
      </c>
      <c r="B386" s="20">
        <v>7.2587685189160452E-3</v>
      </c>
      <c r="C386" s="20">
        <v>0.81612536394906299</v>
      </c>
      <c r="D386" s="20">
        <v>0.11125018520487977</v>
      </c>
      <c r="E386" s="20">
        <v>0.6508980049281814</v>
      </c>
      <c r="F386" s="20">
        <v>2.1782707181768023E-2</v>
      </c>
      <c r="G386" s="20">
        <v>0.59400614733114288</v>
      </c>
      <c r="H386">
        <v>0.72499999999999998</v>
      </c>
    </row>
    <row r="387" spans="1:8" x14ac:dyDescent="0.25">
      <c r="A387" s="18">
        <v>-301902</v>
      </c>
      <c r="B387" s="20">
        <v>6.8062480726481587E-4</v>
      </c>
      <c r="C387" s="20">
        <v>1.0424235828369681</v>
      </c>
      <c r="D387" s="20">
        <v>-3.5936996517860233E-2</v>
      </c>
      <c r="E387" s="20">
        <v>0.43813829885993605</v>
      </c>
      <c r="F387" s="20">
        <v>6.8507198481490431E-3</v>
      </c>
      <c r="G387" s="20">
        <v>3.0052601287295415</v>
      </c>
      <c r="H387">
        <v>0.2</v>
      </c>
    </row>
    <row r="388" spans="1:8" x14ac:dyDescent="0.25">
      <c r="A388" s="18">
        <v>337142.5</v>
      </c>
      <c r="B388" s="20">
        <v>3.2914706954899793E-3</v>
      </c>
      <c r="C388" s="20">
        <v>0.95886553676346464</v>
      </c>
      <c r="D388" s="20">
        <v>3.6754313181622894E-2</v>
      </c>
      <c r="E388" s="20">
        <v>0.80564426288425639</v>
      </c>
      <c r="F388" s="20">
        <v>4.8749197224990347E-3</v>
      </c>
      <c r="G388" s="20">
        <v>-0.11799082011871609</v>
      </c>
      <c r="H388">
        <v>0.75</v>
      </c>
    </row>
    <row r="389" spans="1:8" x14ac:dyDescent="0.25">
      <c r="A389" s="18">
        <v>116273.75</v>
      </c>
      <c r="B389" s="20">
        <v>3.4428900065571963E-4</v>
      </c>
      <c r="C389" s="20">
        <v>0.81342086769537558</v>
      </c>
      <c r="D389" s="20">
        <v>0.17642816933037753</v>
      </c>
      <c r="E389" s="20">
        <v>0.99991351843422849</v>
      </c>
      <c r="F389" s="20">
        <v>3.2486499363470972E-3</v>
      </c>
      <c r="G389" s="20">
        <v>0.53212969843574442</v>
      </c>
      <c r="H389">
        <v>0.65</v>
      </c>
    </row>
    <row r="390" spans="1:8" x14ac:dyDescent="0.25">
      <c r="A390" s="18">
        <v>873470</v>
      </c>
      <c r="B390" s="20">
        <v>6.2840031731559035E-3</v>
      </c>
      <c r="C390" s="20">
        <v>0.89189771343625834</v>
      </c>
      <c r="D390" s="20">
        <v>6.0746252484700947E-2</v>
      </c>
      <c r="E390" s="20">
        <v>0.89307742659684941</v>
      </c>
      <c r="F390" s="20">
        <v>1.2633707198153083E-2</v>
      </c>
      <c r="G390" s="20">
        <v>0.40951675161455586</v>
      </c>
      <c r="H390">
        <v>0.8</v>
      </c>
    </row>
    <row r="391" spans="1:8" x14ac:dyDescent="0.25">
      <c r="A391" s="18">
        <v>-210981</v>
      </c>
      <c r="B391" s="20">
        <v>2.4270299632383769E-3</v>
      </c>
      <c r="C391" s="20">
        <v>1.0303039472902558</v>
      </c>
      <c r="D391" s="20">
        <v>-1.2729258143823766E-2</v>
      </c>
      <c r="E391" s="20">
        <v>0.79842336548705461</v>
      </c>
      <c r="F391" s="20">
        <v>4.5481934198530237E-3</v>
      </c>
      <c r="G391" s="20">
        <v>2.792656052135547</v>
      </c>
      <c r="H391">
        <v>0.4</v>
      </c>
    </row>
    <row r="392" spans="1:8" x14ac:dyDescent="0.25">
      <c r="A392" s="18">
        <v>-160851</v>
      </c>
      <c r="B392" s="20">
        <v>2.0334302417778657E-3</v>
      </c>
      <c r="C392" s="20">
        <v>1.0193426912180361</v>
      </c>
      <c r="D392" s="20">
        <v>-2.3156990027511801E-2</v>
      </c>
      <c r="E392" s="20">
        <v>0.49522333783941885</v>
      </c>
      <c r="F392" s="20">
        <v>7.3839890240724661E-4</v>
      </c>
      <c r="G392" s="20">
        <v>0.64345457765233116</v>
      </c>
      <c r="H392">
        <v>0.4</v>
      </c>
    </row>
    <row r="393" spans="1:8" x14ac:dyDescent="0.25">
      <c r="A393" s="18">
        <v>723701.25</v>
      </c>
      <c r="B393" s="20">
        <v>3.3930443231147763E-3</v>
      </c>
      <c r="C393" s="20">
        <v>0.82496706373541218</v>
      </c>
      <c r="D393" s="20">
        <v>0.14266248503544673</v>
      </c>
      <c r="E393" s="20">
        <v>0.85126743980967723</v>
      </c>
      <c r="F393" s="20">
        <v>1.7928683073974029E-2</v>
      </c>
      <c r="G393" s="20">
        <v>0.61283516460014775</v>
      </c>
      <c r="H393">
        <v>0.75</v>
      </c>
    </row>
    <row r="394" spans="1:8" x14ac:dyDescent="0.25">
      <c r="A394" s="18">
        <v>-956885</v>
      </c>
      <c r="B394" s="20">
        <v>8.9427906085442072E-3</v>
      </c>
      <c r="C394" s="20">
        <v>1.1047450775242131</v>
      </c>
      <c r="D394" s="20">
        <v>-5.7664736222633607E-2</v>
      </c>
      <c r="E394" s="20">
        <v>0.69286302032721847</v>
      </c>
      <c r="F394" s="20">
        <v>4.6075864937898704E-3</v>
      </c>
      <c r="G394" s="20">
        <v>1.219202372671341</v>
      </c>
      <c r="H394">
        <v>0.42499999999999999</v>
      </c>
    </row>
    <row r="395" spans="1:8" x14ac:dyDescent="0.25">
      <c r="A395" s="18">
        <v>1655918.75</v>
      </c>
      <c r="B395" s="20">
        <v>0.15551716100761359</v>
      </c>
      <c r="C395" s="20">
        <v>0.84561434609522002</v>
      </c>
      <c r="D395" s="20">
        <v>0.15760282994714905</v>
      </c>
      <c r="E395" s="20">
        <v>0.63284726488622267</v>
      </c>
      <c r="F395" s="20">
        <v>2.0470242916328398E-2</v>
      </c>
      <c r="G395" s="20">
        <v>0.48180786208074561</v>
      </c>
      <c r="H395">
        <v>0.72499999999999998</v>
      </c>
    </row>
    <row r="396" spans="1:8" x14ac:dyDescent="0.25">
      <c r="A396" s="18">
        <v>-361352</v>
      </c>
      <c r="B396" s="20">
        <v>6.5872823458060887E-4</v>
      </c>
      <c r="C396" s="20">
        <v>1.1237229021551987</v>
      </c>
      <c r="D396" s="20">
        <v>-0.10381214114121189</v>
      </c>
      <c r="E396" s="20">
        <v>0.51270635584395152</v>
      </c>
      <c r="F396" s="20">
        <v>2.4333304796045535E-2</v>
      </c>
      <c r="G396" s="20">
        <v>1.4086796368541683</v>
      </c>
      <c r="H396">
        <v>0.27500000000000002</v>
      </c>
    </row>
    <row r="397" spans="1:8" x14ac:dyDescent="0.25">
      <c r="A397" s="18">
        <v>46870.55</v>
      </c>
      <c r="B397" s="20">
        <v>2.3102639997605874E-4</v>
      </c>
      <c r="C397" s="20">
        <v>0.86765862547782657</v>
      </c>
      <c r="D397" s="20">
        <v>5.6964416799140501E-2</v>
      </c>
      <c r="E397" s="20">
        <v>0.70270953504221534</v>
      </c>
      <c r="F397" s="20">
        <v>1.029649831551621E-2</v>
      </c>
      <c r="G397" s="20">
        <v>0.78002184085545401</v>
      </c>
      <c r="H397">
        <v>0.65</v>
      </c>
    </row>
    <row r="398" spans="1:8" x14ac:dyDescent="0.25">
      <c r="A398" s="18">
        <v>236966.25</v>
      </c>
      <c r="B398" s="20">
        <v>3.3661384260172664E-2</v>
      </c>
      <c r="C398" s="20">
        <v>0.97479910718961638</v>
      </c>
      <c r="D398" s="20">
        <v>1.1473597984465053E-2</v>
      </c>
      <c r="E398" s="20">
        <v>0.74749356729624772</v>
      </c>
      <c r="F398" s="20">
        <v>2.0868702185625001E-2</v>
      </c>
      <c r="G398" s="20">
        <v>1.6486570894303443</v>
      </c>
      <c r="H398">
        <v>0.65</v>
      </c>
    </row>
    <row r="399" spans="1:8" x14ac:dyDescent="0.25">
      <c r="A399" s="18">
        <v>1801326.25</v>
      </c>
      <c r="B399" s="20">
        <v>1.3618013364191499E-3</v>
      </c>
      <c r="C399" s="20">
        <v>0.79342484171528938</v>
      </c>
      <c r="D399" s="20">
        <v>0.10125377075284199</v>
      </c>
      <c r="E399" s="20">
        <v>0.62194396789255513</v>
      </c>
      <c r="F399" s="20">
        <v>7.9514501624319972E-3</v>
      </c>
      <c r="G399" s="20">
        <v>1.0987372841792555</v>
      </c>
      <c r="H399">
        <v>0.55000000000000004</v>
      </c>
    </row>
    <row r="400" spans="1:8" x14ac:dyDescent="0.25">
      <c r="A400" s="18">
        <v>-390334</v>
      </c>
      <c r="B400" s="20">
        <v>1.826355502436897E-3</v>
      </c>
      <c r="C400" s="20">
        <v>1.0478955443794999</v>
      </c>
      <c r="D400" s="20">
        <v>-3.2223458599269283E-2</v>
      </c>
      <c r="E400" s="20">
        <v>0.98747388014044502</v>
      </c>
      <c r="F400" s="20">
        <v>1.701899284830314E-2</v>
      </c>
      <c r="G400" s="20">
        <v>1.7455391499553266</v>
      </c>
      <c r="H400">
        <v>0.4</v>
      </c>
    </row>
    <row r="401" spans="1:8" x14ac:dyDescent="0.25">
      <c r="A401" s="18">
        <v>96338.75</v>
      </c>
      <c r="B401" s="20">
        <v>2.6913360815150927E-2</v>
      </c>
      <c r="C401" s="20">
        <v>0.99193060303990355</v>
      </c>
      <c r="D401" s="20">
        <v>4.9668998795792136E-3</v>
      </c>
      <c r="E401" s="20">
        <v>0.82005686150614709</v>
      </c>
      <c r="F401" s="20">
        <v>3.3416110916427606E-2</v>
      </c>
      <c r="G401" s="20">
        <v>-5.3076871926436411</v>
      </c>
      <c r="H401">
        <v>0.8</v>
      </c>
    </row>
    <row r="402" spans="1:8" x14ac:dyDescent="0.25">
      <c r="A402" s="18">
        <v>1019803.75</v>
      </c>
      <c r="B402" s="20">
        <v>1.7094545826915133E-3</v>
      </c>
      <c r="C402" s="20">
        <v>0.86506871738038804</v>
      </c>
      <c r="D402" s="20">
        <v>6.036426962165984E-2</v>
      </c>
      <c r="E402" s="20">
        <v>0.93664573270037077</v>
      </c>
      <c r="F402" s="20">
        <v>2.3437327048243056E-2</v>
      </c>
      <c r="G402" s="20">
        <v>1.3209715938054007</v>
      </c>
      <c r="H402">
        <v>0.55000000000000004</v>
      </c>
    </row>
    <row r="403" spans="1:8" x14ac:dyDescent="0.25">
      <c r="A403" s="18">
        <v>1185400</v>
      </c>
      <c r="B403" s="20">
        <v>1.437881627889825E-3</v>
      </c>
      <c r="C403" s="20">
        <v>0.89818175581303539</v>
      </c>
      <c r="D403" s="20">
        <v>0.16482422457251933</v>
      </c>
      <c r="E403" s="20">
        <v>0.67045271171071485</v>
      </c>
      <c r="F403" s="20">
        <v>8.3575920924417235E-2</v>
      </c>
      <c r="G403" s="20">
        <v>1.0363028042400706</v>
      </c>
      <c r="H403">
        <v>0.5</v>
      </c>
    </row>
    <row r="404" spans="1:8" x14ac:dyDescent="0.25">
      <c r="A404" s="18">
        <v>-1211901</v>
      </c>
      <c r="B404" s="20">
        <v>2.0928068205095765E-3</v>
      </c>
      <c r="C404" s="20">
        <v>1.14038674401934</v>
      </c>
      <c r="D404" s="20">
        <v>-7.9810706730172723E-2</v>
      </c>
      <c r="E404" s="20">
        <v>0.89251964611657031</v>
      </c>
      <c r="F404" s="20">
        <v>4.8458407980879692E-2</v>
      </c>
      <c r="G404" s="20">
        <v>1.5807420226318181</v>
      </c>
      <c r="H404">
        <v>0.4</v>
      </c>
    </row>
    <row r="405" spans="1:8" x14ac:dyDescent="0.25">
      <c r="A405" s="18">
        <v>-556334</v>
      </c>
      <c r="B405" s="20">
        <v>9.065467373385607E-4</v>
      </c>
      <c r="C405" s="20">
        <v>1.1585365472087372</v>
      </c>
      <c r="D405" s="20">
        <v>-0.15551606626262354</v>
      </c>
      <c r="E405" s="20">
        <v>0.50853350755733573</v>
      </c>
      <c r="F405" s="20">
        <v>9.825733694383621E-4</v>
      </c>
      <c r="G405" s="20">
        <v>1.9402223998392933</v>
      </c>
      <c r="H405">
        <v>0.27500000000000002</v>
      </c>
    </row>
    <row r="406" spans="1:8" x14ac:dyDescent="0.25">
      <c r="A406" s="18">
        <v>848563.75</v>
      </c>
      <c r="B406" s="20">
        <v>2.6983664203714271E-3</v>
      </c>
      <c r="C406" s="20">
        <v>0.91522128743346465</v>
      </c>
      <c r="D406" s="20">
        <v>7.1152645799139727E-2</v>
      </c>
      <c r="E406" s="20">
        <v>0.71177744153689981</v>
      </c>
      <c r="F406" s="20">
        <v>1.9573263775282865E-3</v>
      </c>
      <c r="G406" s="20">
        <v>0.31251303172874834</v>
      </c>
      <c r="H406">
        <v>0.7</v>
      </c>
    </row>
    <row r="407" spans="1:8" x14ac:dyDescent="0.25">
      <c r="A407" s="18">
        <v>360176.25</v>
      </c>
      <c r="B407" s="20">
        <v>1.1476426818125668E-3</v>
      </c>
      <c r="C407" s="20">
        <v>0.96148109358271494</v>
      </c>
      <c r="D407" s="20">
        <v>5.4955138117837872E-2</v>
      </c>
      <c r="E407" s="20">
        <v>0.36836121313383763</v>
      </c>
      <c r="F407" s="20">
        <v>1.394567138718997E-4</v>
      </c>
      <c r="G407" s="20">
        <v>-0.25670945388887623</v>
      </c>
      <c r="H407">
        <v>0.6</v>
      </c>
    </row>
    <row r="408" spans="1:8" x14ac:dyDescent="0.25">
      <c r="A408" s="18">
        <v>1205411.25</v>
      </c>
      <c r="B408" s="20">
        <v>1.1938536069145517E-2</v>
      </c>
      <c r="C408" s="20">
        <v>0.85671264209716258</v>
      </c>
      <c r="D408" s="20">
        <v>0.23235965445932066</v>
      </c>
      <c r="E408" s="20">
        <v>0.38373447450483111</v>
      </c>
      <c r="F408" s="20">
        <v>1.078127939647967E-3</v>
      </c>
      <c r="G408" s="20">
        <v>0.55847737026381394</v>
      </c>
      <c r="H408">
        <v>0.65</v>
      </c>
    </row>
    <row r="409" spans="1:8" x14ac:dyDescent="0.25">
      <c r="A409" s="18">
        <v>-67023</v>
      </c>
      <c r="B409" s="20">
        <v>2.1577274615338342E-4</v>
      </c>
      <c r="C409" s="20">
        <v>1.0314325802017479</v>
      </c>
      <c r="D409" s="20">
        <v>-3.2578991525563789E-2</v>
      </c>
      <c r="E409" s="20">
        <v>0.78197811103217507</v>
      </c>
      <c r="F409" s="20">
        <v>1.8978284561010205E-2</v>
      </c>
      <c r="G409" s="20">
        <v>2.5447650333439333</v>
      </c>
      <c r="H409">
        <v>0.35</v>
      </c>
    </row>
    <row r="410" spans="1:8" x14ac:dyDescent="0.25">
      <c r="A410" s="18">
        <v>-241581</v>
      </c>
      <c r="B410" s="20">
        <v>4.716747284611693E-3</v>
      </c>
      <c r="C410" s="20">
        <v>1.1040526564048416</v>
      </c>
      <c r="D410" s="20">
        <v>-0.10513651413709905</v>
      </c>
      <c r="E410" s="20">
        <v>0.55034976122922041</v>
      </c>
      <c r="F410" s="20">
        <v>1.255035286171372E-2</v>
      </c>
      <c r="G410" s="20">
        <v>0.69287588035690306</v>
      </c>
      <c r="H410">
        <v>0.52500000000000002</v>
      </c>
    </row>
    <row r="411" spans="1:8" x14ac:dyDescent="0.25">
      <c r="A411" s="18">
        <v>1412696.25</v>
      </c>
      <c r="B411" s="20">
        <v>8.0714091615605409E-3</v>
      </c>
      <c r="C411" s="20">
        <v>0.83106943922510768</v>
      </c>
      <c r="D411" s="20">
        <v>0.23321825370621058</v>
      </c>
      <c r="E411" s="20">
        <v>0.53060147242915945</v>
      </c>
      <c r="F411" s="20">
        <v>5.2299171261597388E-2</v>
      </c>
      <c r="G411" s="20">
        <v>0.67049963871151219</v>
      </c>
      <c r="H411">
        <v>0.67500000000000004</v>
      </c>
    </row>
    <row r="412" spans="1:8" x14ac:dyDescent="0.25">
      <c r="A412" s="18">
        <v>-1320831</v>
      </c>
      <c r="B412" s="20">
        <v>1.1606923936027687E-3</v>
      </c>
      <c r="C412" s="20">
        <v>1.1419859415886657</v>
      </c>
      <c r="D412" s="20">
        <v>-0.101273114558995</v>
      </c>
      <c r="E412" s="20">
        <v>0.71739808199776922</v>
      </c>
      <c r="F412" s="20">
        <v>1.6474359863971503E-2</v>
      </c>
      <c r="G412" s="20">
        <v>1.8826035227106859</v>
      </c>
      <c r="H412">
        <v>0.4</v>
      </c>
    </row>
    <row r="413" spans="1:8" x14ac:dyDescent="0.25">
      <c r="A413" s="18">
        <v>-1939</v>
      </c>
      <c r="B413" s="20">
        <v>1.5548632665810408E-4</v>
      </c>
      <c r="C413" s="20">
        <v>1.0081400484605318</v>
      </c>
      <c r="D413" s="20">
        <v>-1.2291600633914421E-2</v>
      </c>
      <c r="E413" s="20">
        <v>0.78695574091072351</v>
      </c>
      <c r="F413" s="20">
        <v>1.2177496038034865E-2</v>
      </c>
      <c r="G413" s="20">
        <v>3.5299532583829634</v>
      </c>
      <c r="H413">
        <v>0.35</v>
      </c>
    </row>
    <row r="414" spans="1:8" x14ac:dyDescent="0.25">
      <c r="A414" s="18">
        <v>-706640</v>
      </c>
      <c r="B414" s="20">
        <v>1.0367502769544649E-3</v>
      </c>
      <c r="C414" s="20">
        <v>1.141480191338454</v>
      </c>
      <c r="D414" s="20">
        <v>-8.8945737989449214E-2</v>
      </c>
      <c r="E414" s="20">
        <v>0.93638532978609557</v>
      </c>
      <c r="F414" s="20">
        <v>6.3889785023045157E-3</v>
      </c>
      <c r="G414" s="20">
        <v>0.96990290892490061</v>
      </c>
      <c r="H414">
        <v>0.55000000000000004</v>
      </c>
    </row>
    <row r="415" spans="1:8" x14ac:dyDescent="0.25">
      <c r="A415" s="18">
        <v>167408.75</v>
      </c>
      <c r="B415" s="20">
        <v>4.2075516429817785E-4</v>
      </c>
      <c r="C415" s="20">
        <v>0.92945978654013139</v>
      </c>
      <c r="D415" s="20">
        <v>5.2106466560072909E-2</v>
      </c>
      <c r="E415" s="20">
        <v>0.5892738120784935</v>
      </c>
      <c r="F415" s="20">
        <v>1.9686748810469057E-3</v>
      </c>
      <c r="G415" s="20">
        <v>1.1110211381275843</v>
      </c>
      <c r="H415">
        <v>0.42499999999999999</v>
      </c>
    </row>
    <row r="416" spans="1:8" x14ac:dyDescent="0.25">
      <c r="A416" s="18">
        <v>4298.7</v>
      </c>
      <c r="B416" s="20">
        <v>3.6882800627320609E-5</v>
      </c>
      <c r="C416" s="20">
        <v>0.97423157386546511</v>
      </c>
      <c r="D416" s="20">
        <v>2.6970204596359803E-2</v>
      </c>
      <c r="E416" s="20">
        <v>0.61520142349303886</v>
      </c>
      <c r="F416" s="20">
        <v>8.8463927421935284E-4</v>
      </c>
      <c r="G416" s="20">
        <v>-0.71967135490444667</v>
      </c>
      <c r="H416">
        <v>0.57499999999999996</v>
      </c>
    </row>
    <row r="417" spans="1:8" x14ac:dyDescent="0.25">
      <c r="A417" s="18">
        <v>-981733</v>
      </c>
      <c r="B417" s="20">
        <v>8.0860239989683398E-3</v>
      </c>
      <c r="C417" s="20">
        <v>1.1767259431538679</v>
      </c>
      <c r="D417" s="20">
        <v>-0.15269493535530282</v>
      </c>
      <c r="E417" s="20">
        <v>0.95017186777464813</v>
      </c>
      <c r="F417" s="20">
        <v>9.8350150675609992E-3</v>
      </c>
      <c r="G417" s="20">
        <v>1.174948375429647</v>
      </c>
      <c r="H417">
        <v>0.5</v>
      </c>
    </row>
    <row r="418" spans="1:8" x14ac:dyDescent="0.25">
      <c r="A418" s="18">
        <v>1902757.5</v>
      </c>
      <c r="B418" s="20">
        <v>3.9107272723210122E-3</v>
      </c>
      <c r="C418" s="20">
        <v>0.83653636174508117</v>
      </c>
      <c r="D418" s="20">
        <v>0.15307784819612616</v>
      </c>
      <c r="E418" s="20">
        <v>0.77975853329101852</v>
      </c>
      <c r="F418" s="20">
        <v>1.0254546279529065E-2</v>
      </c>
      <c r="G418" s="20">
        <v>0.9631341810116455</v>
      </c>
      <c r="H418">
        <v>0.75</v>
      </c>
    </row>
    <row r="419" spans="1:8" x14ac:dyDescent="0.25">
      <c r="A419" s="18">
        <v>1678121.25</v>
      </c>
      <c r="B419" s="20">
        <v>1.5730488658707411E-3</v>
      </c>
      <c r="C419" s="20">
        <v>0.80730978496542716</v>
      </c>
      <c r="D419" s="20">
        <v>0.24604959843149582</v>
      </c>
      <c r="E419" s="20">
        <v>0.39996385213129043</v>
      </c>
      <c r="F419" s="20">
        <v>7.1635580834502402E-2</v>
      </c>
      <c r="G419" s="20">
        <v>0.55585827184586212</v>
      </c>
      <c r="H419">
        <v>0.5</v>
      </c>
    </row>
    <row r="420" spans="1:8" x14ac:dyDescent="0.25">
      <c r="A420" s="18">
        <v>-1622585</v>
      </c>
      <c r="B420" s="20">
        <v>1.3021029983093276E-3</v>
      </c>
      <c r="C420" s="20">
        <v>1.2034107538863654</v>
      </c>
      <c r="D420" s="20">
        <v>-0.14769027244947483</v>
      </c>
      <c r="E420" s="20">
        <v>0.56153424364026816</v>
      </c>
      <c r="F420" s="20">
        <v>3.43882311263995E-2</v>
      </c>
      <c r="G420" s="20">
        <v>1.4285670741263576</v>
      </c>
      <c r="H420">
        <v>0.32500000000000001</v>
      </c>
    </row>
    <row r="421" spans="1:8" x14ac:dyDescent="0.25">
      <c r="A421" s="18">
        <v>-201775</v>
      </c>
      <c r="B421" s="20">
        <v>9.5583301306664283E-4</v>
      </c>
      <c r="C421" s="20">
        <v>1.1065479645860494</v>
      </c>
      <c r="D421" s="20">
        <v>-0.11831188249435633</v>
      </c>
      <c r="E421" s="20">
        <v>0.77709146482048685</v>
      </c>
      <c r="F421" s="20">
        <v>3.9903251341288221E-2</v>
      </c>
      <c r="G421" s="20">
        <v>0.47932335776294271</v>
      </c>
      <c r="H421">
        <v>0.5</v>
      </c>
    </row>
    <row r="422" spans="1:8" x14ac:dyDescent="0.25">
      <c r="A422" s="18">
        <v>-314286</v>
      </c>
      <c r="B422" s="20">
        <v>2.4960540494742267E-4</v>
      </c>
      <c r="C422" s="20">
        <v>1.285141076768332</v>
      </c>
      <c r="D422" s="20">
        <v>-0.26083470824715915</v>
      </c>
      <c r="E422" s="20">
        <v>0.93796726171015066</v>
      </c>
      <c r="F422" s="20">
        <v>5.9129870431662082E-2</v>
      </c>
      <c r="G422" s="20">
        <v>1.2830913778351398</v>
      </c>
      <c r="H422">
        <v>0.3</v>
      </c>
    </row>
    <row r="423" spans="1:8" x14ac:dyDescent="0.25">
      <c r="A423" s="18">
        <v>539560</v>
      </c>
      <c r="B423" s="20">
        <v>1.1272865393539256E-3</v>
      </c>
      <c r="C423" s="20">
        <v>0.93610689102124034</v>
      </c>
      <c r="D423" s="20">
        <v>3.723288633535958E-2</v>
      </c>
      <c r="E423" s="20">
        <v>0.7927113284306252</v>
      </c>
      <c r="F423" s="20">
        <v>2.5939361652942521E-3</v>
      </c>
      <c r="G423" s="20">
        <v>0.97874179125403749</v>
      </c>
      <c r="H423">
        <v>0.7</v>
      </c>
    </row>
    <row r="424" spans="1:8" x14ac:dyDescent="0.25">
      <c r="A424" s="18">
        <v>-185866</v>
      </c>
      <c r="B424" s="20">
        <v>1.4315658743438502E-2</v>
      </c>
      <c r="C424" s="20">
        <v>1.0391113812202033</v>
      </c>
      <c r="D424" s="20">
        <v>-3.1564331860061724E-2</v>
      </c>
      <c r="E424" s="20">
        <v>0.46572963649566185</v>
      </c>
      <c r="F424" s="20">
        <v>2.7107155969908715E-3</v>
      </c>
      <c r="G424" s="20">
        <v>2.1075575311830956</v>
      </c>
      <c r="H424">
        <v>0.35</v>
      </c>
    </row>
    <row r="425" spans="1:8" x14ac:dyDescent="0.25">
      <c r="A425" s="18">
        <v>824256.25</v>
      </c>
      <c r="B425" s="20">
        <v>1.1354928053005132E-3</v>
      </c>
      <c r="C425" s="20">
        <v>0.86845924737613789</v>
      </c>
      <c r="D425" s="20">
        <v>6.307813532879894E-2</v>
      </c>
      <c r="E425" s="20">
        <v>0.63579325160950173</v>
      </c>
      <c r="F425" s="20">
        <v>8.3131645538234362E-4</v>
      </c>
      <c r="G425" s="20">
        <v>0.94086799719273517</v>
      </c>
      <c r="H425">
        <v>0.625</v>
      </c>
    </row>
    <row r="426" spans="1:8" x14ac:dyDescent="0.25">
      <c r="A426" s="18">
        <v>-1612989</v>
      </c>
      <c r="B426" s="20">
        <v>2.7054340082335836E-3</v>
      </c>
      <c r="C426" s="20">
        <v>1.1716045730641336</v>
      </c>
      <c r="D426" s="20">
        <v>-0.26813096317022395</v>
      </c>
      <c r="E426" s="20">
        <v>0.4774122860447238</v>
      </c>
      <c r="F426" s="20">
        <v>2.3924991970977159E-2</v>
      </c>
      <c r="G426" s="20">
        <v>0.70009850337481139</v>
      </c>
      <c r="H426">
        <v>0.4</v>
      </c>
    </row>
    <row r="427" spans="1:8" x14ac:dyDescent="0.25">
      <c r="A427" s="18">
        <v>-921361</v>
      </c>
      <c r="B427" s="20">
        <v>2.0279753218988669E-3</v>
      </c>
      <c r="C427" s="20">
        <v>1.2360136340637198</v>
      </c>
      <c r="D427" s="20">
        <v>-0.16320431781728456</v>
      </c>
      <c r="E427" s="20">
        <v>0.68242140049877509</v>
      </c>
      <c r="F427" s="20">
        <v>2.5739334985993133E-2</v>
      </c>
      <c r="G427" s="20">
        <v>1.4127266717967419</v>
      </c>
      <c r="H427">
        <v>0.32500000000000001</v>
      </c>
    </row>
    <row r="428" spans="1:8" x14ac:dyDescent="0.25">
      <c r="A428" s="18">
        <v>-41624</v>
      </c>
      <c r="B428" s="20">
        <v>1.4720007835442185E-4</v>
      </c>
      <c r="C428" s="20">
        <v>1.0240598662080955</v>
      </c>
      <c r="D428" s="20">
        <v>-3.1825720081384047E-2</v>
      </c>
      <c r="E428" s="20">
        <v>0.74627156081191726</v>
      </c>
      <c r="F428" s="20">
        <v>7.7224623491730472E-5</v>
      </c>
      <c r="G428" s="20">
        <v>3.5602297579732247</v>
      </c>
      <c r="H428">
        <v>0.4</v>
      </c>
    </row>
    <row r="429" spans="1:8" x14ac:dyDescent="0.25">
      <c r="A429" s="18">
        <v>-355127</v>
      </c>
      <c r="B429" s="20">
        <v>1.6461335635985326E-3</v>
      </c>
      <c r="C429" s="20">
        <v>1.036253734427647</v>
      </c>
      <c r="D429" s="20">
        <v>-3.8296028547621118E-2</v>
      </c>
      <c r="E429" s="20">
        <v>0.82651732465710059</v>
      </c>
      <c r="F429" s="20">
        <v>3.6341796317067007E-2</v>
      </c>
      <c r="G429" s="20">
        <v>1.4390694896294469</v>
      </c>
      <c r="H429">
        <v>0.4</v>
      </c>
    </row>
    <row r="430" spans="1:8" x14ac:dyDescent="0.25">
      <c r="A430" s="18">
        <v>-340766</v>
      </c>
      <c r="B430" s="20">
        <v>7.5740240551296642E-4</v>
      </c>
      <c r="C430" s="20">
        <v>1.0572934840004224</v>
      </c>
      <c r="D430" s="20">
        <v>-4.0568375843502827E-2</v>
      </c>
      <c r="E430" s="20">
        <v>0.60881819402120074</v>
      </c>
      <c r="F430" s="20">
        <v>6.2898447271444988E-2</v>
      </c>
      <c r="G430" s="20">
        <v>1.6050964460477652</v>
      </c>
      <c r="H430">
        <v>0.22500000000000001</v>
      </c>
    </row>
    <row r="431" spans="1:8" x14ac:dyDescent="0.25">
      <c r="A431" s="18">
        <v>-331054</v>
      </c>
      <c r="B431" s="20">
        <v>2.0880890661363447E-3</v>
      </c>
      <c r="C431" s="20">
        <v>1.1357175188686008</v>
      </c>
      <c r="D431" s="20">
        <v>-7.7484065110637851E-2</v>
      </c>
      <c r="E431" s="20">
        <v>0.71962691278192759</v>
      </c>
      <c r="F431" s="20">
        <v>3.8639751548433803E-3</v>
      </c>
      <c r="G431" s="20">
        <v>1.2406227828166687</v>
      </c>
      <c r="H431">
        <v>0.4</v>
      </c>
    </row>
    <row r="432" spans="1:8" x14ac:dyDescent="0.25">
      <c r="A432" s="18">
        <v>502825</v>
      </c>
      <c r="B432" s="20">
        <v>1.6902418448331144E-3</v>
      </c>
      <c r="C432" s="20">
        <v>0.93119982992995787</v>
      </c>
      <c r="D432" s="20">
        <v>6.749834417128156E-2</v>
      </c>
      <c r="E432" s="20">
        <v>0.71680260154365616</v>
      </c>
      <c r="F432" s="20">
        <v>3.7349643100785264E-2</v>
      </c>
      <c r="G432" s="20">
        <v>1.624606164144939</v>
      </c>
      <c r="H432">
        <v>0.55000000000000004</v>
      </c>
    </row>
    <row r="433" spans="1:8" x14ac:dyDescent="0.25">
      <c r="A433" s="18">
        <v>-324528</v>
      </c>
      <c r="B433" s="20">
        <v>4.7604600210979821E-3</v>
      </c>
      <c r="C433" s="20">
        <v>1.052693637271205</v>
      </c>
      <c r="D433" s="20">
        <v>-2.1118713698224979E-2</v>
      </c>
      <c r="E433" s="20">
        <v>0.87204541060405882</v>
      </c>
      <c r="F433" s="20">
        <v>1.0037323861859737E-2</v>
      </c>
      <c r="G433" s="20">
        <v>1.8896142801117222</v>
      </c>
      <c r="H433">
        <v>0.45</v>
      </c>
    </row>
    <row r="434" spans="1:8" x14ac:dyDescent="0.25">
      <c r="A434" s="18">
        <v>578180</v>
      </c>
      <c r="B434" s="20">
        <v>1.1308581336520022E-3</v>
      </c>
      <c r="C434" s="20">
        <v>0.93682477121548624</v>
      </c>
      <c r="D434" s="20">
        <v>5.8102989352474953E-2</v>
      </c>
      <c r="E434" s="20">
        <v>0.49492789664306824</v>
      </c>
      <c r="F434" s="20">
        <v>1.5766533269031272E-2</v>
      </c>
      <c r="G434" s="20">
        <v>1.3080069060084543</v>
      </c>
      <c r="H434">
        <v>0.4</v>
      </c>
    </row>
    <row r="435" spans="1:8" x14ac:dyDescent="0.25">
      <c r="A435" s="18">
        <v>1161505</v>
      </c>
      <c r="B435" s="20">
        <v>2.3427995088567488E-3</v>
      </c>
      <c r="C435" s="20">
        <v>0.86897467212703827</v>
      </c>
      <c r="D435" s="20">
        <v>8.6079918134385328E-2</v>
      </c>
      <c r="E435" s="20">
        <v>0.74747016979058611</v>
      </c>
      <c r="F435" s="20">
        <v>2.0353607222174091E-2</v>
      </c>
      <c r="G435" s="20">
        <v>0.88984288996248051</v>
      </c>
      <c r="H435">
        <v>0.7</v>
      </c>
    </row>
    <row r="436" spans="1:8" x14ac:dyDescent="0.25">
      <c r="A436" s="18">
        <v>209108.75</v>
      </c>
      <c r="B436" s="20">
        <v>2.2306584266333293E-3</v>
      </c>
      <c r="C436" s="20">
        <v>0.98380495766837561</v>
      </c>
      <c r="D436" s="20">
        <v>1.7422738263264806E-2</v>
      </c>
      <c r="E436" s="20">
        <v>0.51964348184504117</v>
      </c>
      <c r="F436" s="20">
        <v>4.3967452254029728E-3</v>
      </c>
      <c r="G436" s="20">
        <v>-1.6782275415727257</v>
      </c>
      <c r="H436">
        <v>0.625</v>
      </c>
    </row>
    <row r="437" spans="1:8" x14ac:dyDescent="0.25">
      <c r="A437" s="18">
        <v>-251389</v>
      </c>
      <c r="B437" s="20">
        <v>4.7581019788222456E-4</v>
      </c>
      <c r="C437" s="20">
        <v>1.0746336234914105</v>
      </c>
      <c r="D437" s="20">
        <v>-4.8357141386964272E-2</v>
      </c>
      <c r="E437" s="20">
        <v>0.73306805998629643</v>
      </c>
      <c r="F437" s="20">
        <v>1.3274173713608168E-2</v>
      </c>
      <c r="G437" s="20">
        <v>2.2768065474940506</v>
      </c>
      <c r="H437">
        <v>0.35</v>
      </c>
    </row>
    <row r="438" spans="1:8" x14ac:dyDescent="0.25">
      <c r="A438" s="18">
        <v>-335215</v>
      </c>
      <c r="B438" s="20">
        <v>2.1693056194207923E-3</v>
      </c>
      <c r="C438" s="20">
        <v>1.089978452323082</v>
      </c>
      <c r="D438" s="20">
        <v>-8.519812379353596E-2</v>
      </c>
      <c r="E438" s="20">
        <v>0.40798760981322535</v>
      </c>
      <c r="F438" s="20">
        <v>7.0125186330786231E-3</v>
      </c>
      <c r="G438" s="20">
        <v>1.3383301638517819</v>
      </c>
      <c r="H438">
        <v>0.25</v>
      </c>
    </row>
    <row r="439" spans="1:8" x14ac:dyDescent="0.25">
      <c r="A439" s="18">
        <v>-739924</v>
      </c>
      <c r="B439" s="20">
        <v>1.9412739894298558E-3</v>
      </c>
      <c r="C439" s="20">
        <v>1.128045879215503</v>
      </c>
      <c r="D439" s="20">
        <v>-9.3192331448135907E-2</v>
      </c>
      <c r="E439" s="20">
        <v>0.78501170089566308</v>
      </c>
      <c r="F439" s="20">
        <v>3.4905750204792294E-2</v>
      </c>
      <c r="G439" s="20">
        <v>0.68767886528573718</v>
      </c>
      <c r="H439">
        <v>0.55000000000000004</v>
      </c>
    </row>
    <row r="440" spans="1:8" x14ac:dyDescent="0.25">
      <c r="A440" s="18">
        <v>-1467871</v>
      </c>
      <c r="B440" s="20">
        <v>2.6438797651735378E-3</v>
      </c>
      <c r="C440" s="20">
        <v>1.2032111034638056</v>
      </c>
      <c r="D440" s="20">
        <v>-9.0351946218386422E-2</v>
      </c>
      <c r="E440" s="20">
        <v>0.87843967037885085</v>
      </c>
      <c r="F440" s="20">
        <v>1.0201003351748571E-2</v>
      </c>
      <c r="G440" s="20">
        <v>0.97863487563737339</v>
      </c>
      <c r="H440">
        <v>0.55000000000000004</v>
      </c>
    </row>
    <row r="441" spans="1:8" x14ac:dyDescent="0.25">
      <c r="A441" s="18">
        <v>1789520</v>
      </c>
      <c r="B441" s="20">
        <v>5.262149455071031E-3</v>
      </c>
      <c r="C441" s="20">
        <v>0.85437178223422272</v>
      </c>
      <c r="D441" s="20">
        <v>5.865415794006671E-2</v>
      </c>
      <c r="E441" s="20">
        <v>0.98105745444587744</v>
      </c>
      <c r="F441" s="20">
        <v>1.7628171668886672E-3</v>
      </c>
      <c r="G441" s="20">
        <v>1.1144435582706098</v>
      </c>
      <c r="H441">
        <v>0.65</v>
      </c>
    </row>
    <row r="442" spans="1:8" x14ac:dyDescent="0.25">
      <c r="A442" s="18">
        <v>-462589</v>
      </c>
      <c r="B442" s="20">
        <v>2.0041938105906323E-4</v>
      </c>
      <c r="C442" s="20">
        <v>1.2603345284809662</v>
      </c>
      <c r="D442" s="20">
        <v>-0.25408168926048169</v>
      </c>
      <c r="E442" s="20">
        <v>0.61423264061558513</v>
      </c>
      <c r="F442" s="20">
        <v>3.2790829113642471E-2</v>
      </c>
      <c r="G442" s="20">
        <v>1.2241966854180624</v>
      </c>
      <c r="H442">
        <v>0.27500000000000002</v>
      </c>
    </row>
    <row r="443" spans="1:8" x14ac:dyDescent="0.25">
      <c r="A443" s="18">
        <v>-905916</v>
      </c>
      <c r="B443" s="20">
        <v>1.7350592871540754E-2</v>
      </c>
      <c r="C443" s="20">
        <v>1.0960061281074076</v>
      </c>
      <c r="D443" s="20">
        <v>-7.793315193126106E-2</v>
      </c>
      <c r="E443" s="20">
        <v>0.55134873111867733</v>
      </c>
      <c r="F443" s="20">
        <v>1.6974829387135709E-2</v>
      </c>
      <c r="G443" s="20">
        <v>0.54065172426195574</v>
      </c>
      <c r="H443">
        <v>0.57499999999999996</v>
      </c>
    </row>
    <row r="444" spans="1:8" x14ac:dyDescent="0.25">
      <c r="A444" s="18">
        <v>-65246</v>
      </c>
      <c r="B444" s="20">
        <v>5.4178042710989573E-5</v>
      </c>
      <c r="C444" s="20">
        <v>1.1633913713828092</v>
      </c>
      <c r="D444" s="20">
        <v>-0.10205403173331999</v>
      </c>
      <c r="E444" s="20">
        <v>0.55020189537241349</v>
      </c>
      <c r="F444" s="20">
        <v>3.3331873467140499E-3</v>
      </c>
      <c r="G444" s="20">
        <v>1.8341381128285437</v>
      </c>
      <c r="H444">
        <v>0.27500000000000002</v>
      </c>
    </row>
    <row r="445" spans="1:8" x14ac:dyDescent="0.25">
      <c r="A445" s="18">
        <v>199206.25</v>
      </c>
      <c r="B445" s="20">
        <v>7.0473728573574842E-4</v>
      </c>
      <c r="C445" s="20">
        <v>0.88233000807730633</v>
      </c>
      <c r="D445" s="20">
        <v>0.11226853091204611</v>
      </c>
      <c r="E445" s="20">
        <v>0.91278932785706279</v>
      </c>
      <c r="F445" s="20">
        <v>2.3903091401864206E-2</v>
      </c>
      <c r="G445" s="20">
        <v>0.55476272225477052</v>
      </c>
      <c r="H445">
        <v>0.65</v>
      </c>
    </row>
    <row r="446" spans="1:8" x14ac:dyDescent="0.25">
      <c r="A446" s="18">
        <v>-1537382</v>
      </c>
      <c r="B446" s="20">
        <v>1.2729032933536646E-3</v>
      </c>
      <c r="C446" s="20">
        <v>1.2796821755856072</v>
      </c>
      <c r="D446" s="20">
        <v>-0.27668859588342154</v>
      </c>
      <c r="E446" s="20">
        <v>0.49832758132519772</v>
      </c>
      <c r="F446" s="20">
        <v>5.7061077014060636E-2</v>
      </c>
      <c r="G446" s="20">
        <v>0.53671423277202734</v>
      </c>
      <c r="H446">
        <v>0.35</v>
      </c>
    </row>
    <row r="447" spans="1:8" x14ac:dyDescent="0.25">
      <c r="A447" s="18">
        <v>-4437</v>
      </c>
      <c r="B447" s="20">
        <v>9.2753034061027176E-5</v>
      </c>
      <c r="C447" s="20">
        <v>1.0314109742441209</v>
      </c>
      <c r="D447" s="20">
        <v>-1.4903615226745222E-2</v>
      </c>
      <c r="E447" s="20">
        <v>0.54583673282302791</v>
      </c>
      <c r="F447" s="20">
        <v>6.7615455153117263E-3</v>
      </c>
      <c r="G447" s="20">
        <v>0.96183842233982153</v>
      </c>
      <c r="H447">
        <v>0.42499999999999999</v>
      </c>
    </row>
    <row r="448" spans="1:8" x14ac:dyDescent="0.25">
      <c r="A448" s="18">
        <v>-604917</v>
      </c>
      <c r="B448" s="20">
        <v>1.9581078888975794E-3</v>
      </c>
      <c r="C448" s="20">
        <v>1.0630425087962483</v>
      </c>
      <c r="D448" s="20">
        <v>-5.334888218315588E-2</v>
      </c>
      <c r="E448" s="20">
        <v>0.5409363171075483</v>
      </c>
      <c r="F448" s="20">
        <v>5.6116613904291148E-3</v>
      </c>
      <c r="G448" s="20">
        <v>0.6412389108865425</v>
      </c>
      <c r="H448">
        <v>0.47499999999999998</v>
      </c>
    </row>
    <row r="449" spans="1:8" x14ac:dyDescent="0.25">
      <c r="A449" s="18">
        <v>-865787</v>
      </c>
      <c r="B449" s="20">
        <v>8.3511134059113476E-4</v>
      </c>
      <c r="C449" s="20">
        <v>1.1897188804064986</v>
      </c>
      <c r="D449" s="20">
        <v>-0.15096092131832814</v>
      </c>
      <c r="E449" s="20">
        <v>0.52063509210696524</v>
      </c>
      <c r="F449" s="20">
        <v>3.4261041471634772E-2</v>
      </c>
      <c r="G449" s="20">
        <v>1.2673822057871178</v>
      </c>
      <c r="H449">
        <v>0.27500000000000002</v>
      </c>
    </row>
    <row r="450" spans="1:8" x14ac:dyDescent="0.25">
      <c r="A450" s="18">
        <v>263477.5</v>
      </c>
      <c r="B450" s="20">
        <v>8.3978981993615299E-3</v>
      </c>
      <c r="C450" s="20">
        <v>0.97569720005802985</v>
      </c>
      <c r="D450" s="20">
        <v>1.3682149050429698E-2</v>
      </c>
      <c r="E450" s="20">
        <v>0.95796224389207241</v>
      </c>
      <c r="F450" s="20">
        <v>2.2554365352157701E-3</v>
      </c>
      <c r="G450" s="20">
        <v>8.7809033430646555E-2</v>
      </c>
      <c r="H450">
        <v>0.8</v>
      </c>
    </row>
    <row r="451" spans="1:8" x14ac:dyDescent="0.25">
      <c r="A451" s="18">
        <v>86291.25</v>
      </c>
      <c r="B451" s="20">
        <v>6.7639640703214611E-5</v>
      </c>
      <c r="C451" s="20">
        <v>0.78547309366195217</v>
      </c>
      <c r="D451" s="20">
        <v>0.13442365660074618</v>
      </c>
      <c r="E451" s="20">
        <v>0.82547743016486785</v>
      </c>
      <c r="F451" s="20">
        <v>1.1262822559916503E-3</v>
      </c>
      <c r="G451" s="20">
        <v>0.97137478726704451</v>
      </c>
      <c r="H451">
        <v>0.65</v>
      </c>
    </row>
    <row r="452" spans="1:8" x14ac:dyDescent="0.25">
      <c r="A452" s="18">
        <v>82133.75</v>
      </c>
      <c r="B452" s="20">
        <v>4.7959589540190408E-4</v>
      </c>
      <c r="C452" s="20">
        <v>0.95269340211909503</v>
      </c>
      <c r="D452" s="20">
        <v>3.9045415736490417E-2</v>
      </c>
      <c r="E452" s="20">
        <v>0.99173578655708694</v>
      </c>
      <c r="F452" s="20">
        <v>1.100238454722126E-2</v>
      </c>
      <c r="G452" s="20">
        <v>1.7224292847537763</v>
      </c>
      <c r="H452">
        <v>0.5</v>
      </c>
    </row>
    <row r="453" spans="1:8" x14ac:dyDescent="0.25">
      <c r="A453" s="18">
        <v>915226.25</v>
      </c>
      <c r="B453" s="20">
        <v>4.3984619426092747E-3</v>
      </c>
      <c r="C453" s="20">
        <v>0.91573007860729627</v>
      </c>
      <c r="D453" s="20">
        <v>0.12015406507405831</v>
      </c>
      <c r="E453" s="20">
        <v>0.79825336169292327</v>
      </c>
      <c r="F453" s="20">
        <v>9.4394117660959419E-3</v>
      </c>
      <c r="G453" s="20">
        <v>1.0986488984491842</v>
      </c>
      <c r="H453">
        <v>0.67500000000000004</v>
      </c>
    </row>
    <row r="454" spans="1:8" x14ac:dyDescent="0.25">
      <c r="A454" s="18">
        <v>99198.75</v>
      </c>
      <c r="B454" s="20">
        <v>6.2480194947695813E-4</v>
      </c>
      <c r="C454" s="20">
        <v>0.95437489519294449</v>
      </c>
      <c r="D454" s="20">
        <v>2.5913948410739168E-2</v>
      </c>
      <c r="E454" s="20">
        <v>0.84654401380651856</v>
      </c>
      <c r="F454" s="20">
        <v>1.1673962893475089E-2</v>
      </c>
      <c r="G454" s="20">
        <v>0.28421214764757929</v>
      </c>
      <c r="H454">
        <v>0.65</v>
      </c>
    </row>
    <row r="455" spans="1:8" x14ac:dyDescent="0.25">
      <c r="A455" s="18">
        <v>-1475282</v>
      </c>
      <c r="B455" s="20">
        <v>4.3146546392104712E-3</v>
      </c>
      <c r="C455" s="20">
        <v>1.2519131436119464</v>
      </c>
      <c r="D455" s="20">
        <v>-0.23449754873715814</v>
      </c>
      <c r="E455" s="20">
        <v>0.46923313415140233</v>
      </c>
      <c r="F455" s="20">
        <v>1.547705884064002E-3</v>
      </c>
      <c r="G455" s="20">
        <v>0.93814873279129152</v>
      </c>
      <c r="H455">
        <v>0.45</v>
      </c>
    </row>
    <row r="456" spans="1:8" x14ac:dyDescent="0.25">
      <c r="A456" s="18">
        <v>-312831</v>
      </c>
      <c r="B456" s="20">
        <v>2.226440743777406E-4</v>
      </c>
      <c r="C456" s="20">
        <v>1.0846098750154014</v>
      </c>
      <c r="D456" s="20">
        <v>-0.12348998322313234</v>
      </c>
      <c r="E456" s="20">
        <v>0.86361423537625726</v>
      </c>
      <c r="F456" s="20">
        <v>2.6942465212671469E-2</v>
      </c>
      <c r="G456" s="20">
        <v>1.3706548033377275</v>
      </c>
      <c r="H456">
        <v>0.35</v>
      </c>
    </row>
    <row r="457" spans="1:8" x14ac:dyDescent="0.25">
      <c r="A457" s="18">
        <v>-497161</v>
      </c>
      <c r="B457" s="20">
        <v>2.8203021899231009E-3</v>
      </c>
      <c r="C457" s="20">
        <v>1.1211853778850973</v>
      </c>
      <c r="D457" s="20">
        <v>-0.13255018079108699</v>
      </c>
      <c r="E457" s="20">
        <v>0.65672090756029433</v>
      </c>
      <c r="F457" s="20">
        <v>1.8556081496494823E-2</v>
      </c>
      <c r="G457" s="20">
        <v>1.2752744115275203</v>
      </c>
      <c r="H457">
        <v>0.32500000000000001</v>
      </c>
    </row>
    <row r="458" spans="1:8" x14ac:dyDescent="0.25">
      <c r="A458" s="18">
        <v>857603.75</v>
      </c>
      <c r="B458" s="20">
        <v>6.1380598870276852E-3</v>
      </c>
      <c r="C458" s="20">
        <v>0.92174829746476561</v>
      </c>
      <c r="D458" s="20">
        <v>6.5729767376196582E-2</v>
      </c>
      <c r="E458" s="20">
        <v>0.34353262818238017</v>
      </c>
      <c r="F458" s="20">
        <v>7.2626246817569573E-2</v>
      </c>
      <c r="G458" s="20">
        <v>0.69303366431601932</v>
      </c>
      <c r="H458">
        <v>0.6</v>
      </c>
    </row>
    <row r="459" spans="1:8" x14ac:dyDescent="0.25">
      <c r="A459" s="18">
        <v>-803280</v>
      </c>
      <c r="B459" s="20">
        <v>3.2377461980206248E-3</v>
      </c>
      <c r="C459" s="20">
        <v>1.1099771017337259</v>
      </c>
      <c r="D459" s="20">
        <v>-7.6787137752940007E-2</v>
      </c>
      <c r="E459" s="20">
        <v>0.71560868548637879</v>
      </c>
      <c r="F459" s="20">
        <v>9.9764585593884857E-3</v>
      </c>
      <c r="G459" s="20">
        <v>0.77970054695985846</v>
      </c>
      <c r="H459">
        <v>0.6</v>
      </c>
    </row>
    <row r="460" spans="1:8" x14ac:dyDescent="0.25">
      <c r="A460" s="18">
        <v>-149312</v>
      </c>
      <c r="B460" s="20">
        <v>8.9353518209233187E-4</v>
      </c>
      <c r="C460" s="20">
        <v>1.1040355277183092</v>
      </c>
      <c r="D460" s="20">
        <v>-4.4373753295816304E-2</v>
      </c>
      <c r="E460" s="20">
        <v>0.67103965845673752</v>
      </c>
      <c r="F460" s="20">
        <v>1.4689117446369431E-2</v>
      </c>
      <c r="G460" s="20">
        <v>0.70704874342314306</v>
      </c>
      <c r="H460">
        <v>0.42499999999999999</v>
      </c>
    </row>
    <row r="461" spans="1:8" x14ac:dyDescent="0.25">
      <c r="A461" s="18">
        <v>531253.75</v>
      </c>
      <c r="B461" s="20">
        <v>1.0587805152808298E-3</v>
      </c>
      <c r="C461" s="20">
        <v>0.83051715819755756</v>
      </c>
      <c r="D461" s="20">
        <v>0.12856233117616339</v>
      </c>
      <c r="E461" s="20">
        <v>0.67322151928430662</v>
      </c>
      <c r="F461" s="20">
        <v>3.787268292989851E-3</v>
      </c>
      <c r="G461" s="20">
        <v>0.96798240443399464</v>
      </c>
      <c r="H461">
        <v>0.625</v>
      </c>
    </row>
    <row r="462" spans="1:8" x14ac:dyDescent="0.25">
      <c r="A462" s="18">
        <v>498280</v>
      </c>
      <c r="B462" s="20">
        <v>1.5209046232666215E-3</v>
      </c>
      <c r="C462" s="20">
        <v>0.82780781353815314</v>
      </c>
      <c r="D462" s="20">
        <v>0.22924666237875849</v>
      </c>
      <c r="E462" s="20">
        <v>0.48820849118012122</v>
      </c>
      <c r="F462" s="20">
        <v>2.3036924778496417E-2</v>
      </c>
      <c r="G462" s="20">
        <v>1.3322019974874815</v>
      </c>
      <c r="H462">
        <v>0.4</v>
      </c>
    </row>
    <row r="463" spans="1:8" x14ac:dyDescent="0.25">
      <c r="A463" s="18">
        <v>-569611</v>
      </c>
      <c r="B463" s="20">
        <v>6.0586961068387617E-4</v>
      </c>
      <c r="C463" s="20">
        <v>1.0703918588718362</v>
      </c>
      <c r="D463" s="20">
        <v>-8.3196792545150472E-2</v>
      </c>
      <c r="E463" s="20">
        <v>0.60590482306097715</v>
      </c>
      <c r="F463" s="20">
        <v>4.2758031417283154E-2</v>
      </c>
      <c r="G463" s="20">
        <v>1.9808336340631698</v>
      </c>
      <c r="H463">
        <v>0.27500000000000002</v>
      </c>
    </row>
    <row r="464" spans="1:8" x14ac:dyDescent="0.25">
      <c r="A464" s="18">
        <v>170361.25</v>
      </c>
      <c r="B464" s="20">
        <v>4.5518405010577783E-3</v>
      </c>
      <c r="C464" s="20">
        <v>0.98209241931076641</v>
      </c>
      <c r="D464" s="20">
        <v>7.3903180689565062E-3</v>
      </c>
      <c r="E464" s="20">
        <v>0.74026964986250132</v>
      </c>
      <c r="F464" s="20">
        <v>1.6871153335351094E-2</v>
      </c>
      <c r="G464" s="20">
        <v>-0.79835059895719684</v>
      </c>
      <c r="H464">
        <v>0.75</v>
      </c>
    </row>
    <row r="465" spans="1:8" x14ac:dyDescent="0.25">
      <c r="A465" s="18">
        <v>-1971234</v>
      </c>
      <c r="B465" s="20">
        <v>1.9789484447072649E-2</v>
      </c>
      <c r="C465" s="20">
        <v>1.2069655415255578</v>
      </c>
      <c r="D465" s="20">
        <v>-0.10854819948118909</v>
      </c>
      <c r="E465" s="20">
        <v>0.58142208572312326</v>
      </c>
      <c r="F465" s="20">
        <v>3.0714888137591281E-2</v>
      </c>
      <c r="G465" s="20">
        <v>0.8185264745909745</v>
      </c>
      <c r="H465">
        <v>0.57499999999999996</v>
      </c>
    </row>
    <row r="466" spans="1:8" x14ac:dyDescent="0.25">
      <c r="A466" s="18">
        <v>-418073</v>
      </c>
      <c r="B466" s="20">
        <v>1.6451492281579385E-4</v>
      </c>
      <c r="C466" s="20">
        <v>1.2263656981740123</v>
      </c>
      <c r="D466" s="20">
        <v>-0.16872743210612959</v>
      </c>
      <c r="E466" s="20">
        <v>0.58614546469597473</v>
      </c>
      <c r="F466" s="20">
        <v>7.8375947059509618E-4</v>
      </c>
      <c r="G466" s="20">
        <v>1.7421433347868778</v>
      </c>
      <c r="H466">
        <v>0.27500000000000002</v>
      </c>
    </row>
    <row r="467" spans="1:8" x14ac:dyDescent="0.25">
      <c r="A467" s="18">
        <v>279781.25</v>
      </c>
      <c r="B467" s="20">
        <v>2.1364452621459428E-3</v>
      </c>
      <c r="C467" s="20">
        <v>0.96659502049100576</v>
      </c>
      <c r="D467" s="20">
        <v>4.8982108777331286E-2</v>
      </c>
      <c r="E467" s="20">
        <v>0.50268596383242337</v>
      </c>
      <c r="F467" s="20">
        <v>3.2175768968227249E-2</v>
      </c>
      <c r="G467" s="20">
        <v>-0.40500312192254306</v>
      </c>
      <c r="H467">
        <v>0.625</v>
      </c>
    </row>
    <row r="468" spans="1:8" x14ac:dyDescent="0.25">
      <c r="A468" s="18">
        <v>-806257</v>
      </c>
      <c r="B468" s="20">
        <v>9.680252332759763E-4</v>
      </c>
      <c r="C468" s="20">
        <v>1.1941943919844371</v>
      </c>
      <c r="D468" s="20">
        <v>-0.11192784371302075</v>
      </c>
      <c r="E468" s="20">
        <v>0.86266830193709132</v>
      </c>
      <c r="F468" s="20">
        <v>1.5961014881380423E-2</v>
      </c>
      <c r="G468" s="20">
        <v>1.7128229247068769</v>
      </c>
      <c r="H468">
        <v>0.35</v>
      </c>
    </row>
    <row r="469" spans="1:8" x14ac:dyDescent="0.25">
      <c r="A469" s="18">
        <v>-1056073</v>
      </c>
      <c r="B469" s="20">
        <v>3.1178509900442524E-3</v>
      </c>
      <c r="C469" s="20">
        <v>1.12732950767983</v>
      </c>
      <c r="D469" s="20">
        <v>-0.11087622700842181</v>
      </c>
      <c r="E469" s="20">
        <v>0.85358145957282716</v>
      </c>
      <c r="F469" s="20">
        <v>6.1912113146407816E-4</v>
      </c>
      <c r="G469" s="20">
        <v>1.48428865301214</v>
      </c>
      <c r="H469">
        <v>0.45</v>
      </c>
    </row>
    <row r="470" spans="1:8" x14ac:dyDescent="0.25">
      <c r="A470" s="18">
        <v>597233.75</v>
      </c>
      <c r="B470" s="20">
        <v>8.8480938225035048E-4</v>
      </c>
      <c r="C470" s="20">
        <v>0.83447695934704391</v>
      </c>
      <c r="D470" s="20">
        <v>8.772848217737661E-2</v>
      </c>
      <c r="E470" s="20">
        <v>0.75424316010147641</v>
      </c>
      <c r="F470" s="20">
        <v>1.1764823395446837E-2</v>
      </c>
      <c r="G470" s="20">
        <v>1.0017636651155239</v>
      </c>
      <c r="H470">
        <v>0.57499999999999996</v>
      </c>
    </row>
    <row r="471" spans="1:8" x14ac:dyDescent="0.25">
      <c r="A471" s="18">
        <v>-290147</v>
      </c>
      <c r="B471" s="20">
        <v>7.426873345279725E-4</v>
      </c>
      <c r="C471" s="20">
        <v>1.1453324484325043</v>
      </c>
      <c r="D471" s="20">
        <v>-0.15641221230017008</v>
      </c>
      <c r="E471" s="20">
        <v>0.64321555244487549</v>
      </c>
      <c r="F471" s="20">
        <v>2.1087700099460111E-2</v>
      </c>
      <c r="G471" s="20">
        <v>1.1385055774412487</v>
      </c>
      <c r="H471">
        <v>0.27500000000000002</v>
      </c>
    </row>
    <row r="472" spans="1:8" x14ac:dyDescent="0.25">
      <c r="A472" s="18">
        <v>-1978559</v>
      </c>
      <c r="B472" s="20">
        <v>1.5045597371427187E-2</v>
      </c>
      <c r="C472" s="20">
        <v>1.2097593389428705</v>
      </c>
      <c r="D472" s="20">
        <v>-0.15045285453060983</v>
      </c>
      <c r="E472" s="20">
        <v>0.80121372322304707</v>
      </c>
      <c r="F472" s="20">
        <v>1.0922011626613385E-2</v>
      </c>
      <c r="G472" s="20">
        <v>0.53244558900644223</v>
      </c>
      <c r="H472">
        <v>0.65</v>
      </c>
    </row>
    <row r="473" spans="1:8" x14ac:dyDescent="0.25">
      <c r="A473" s="18">
        <v>15422.65</v>
      </c>
      <c r="B473" s="20">
        <v>7.5238665562744349E-5</v>
      </c>
      <c r="C473" s="20">
        <v>0.95731157850336479</v>
      </c>
      <c r="D473" s="20">
        <v>3.8630312320751835E-2</v>
      </c>
      <c r="E473" s="20">
        <v>0.60992813536949786</v>
      </c>
      <c r="F473" s="20">
        <v>4.9962804048722942E-2</v>
      </c>
      <c r="G473" s="20">
        <v>1.5799152722334007</v>
      </c>
      <c r="H473">
        <v>0.42499999999999999</v>
      </c>
    </row>
    <row r="474" spans="1:8" x14ac:dyDescent="0.25">
      <c r="A474" s="18">
        <v>209435</v>
      </c>
      <c r="B474" s="20">
        <v>4.8586295167773482E-4</v>
      </c>
      <c r="C474" s="20">
        <v>0.86377305320767583</v>
      </c>
      <c r="D474" s="20">
        <v>6.6917827521444317E-2</v>
      </c>
      <c r="E474" s="20">
        <v>0.68589783768217838</v>
      </c>
      <c r="F474" s="20">
        <v>2.25546324384117E-3</v>
      </c>
      <c r="G474" s="20">
        <v>1.5909408471713233</v>
      </c>
      <c r="H474">
        <v>0.42499999999999999</v>
      </c>
    </row>
    <row r="475" spans="1:8" x14ac:dyDescent="0.25">
      <c r="A475" s="18">
        <v>37018.5</v>
      </c>
      <c r="B475" s="20">
        <v>2.9062397062762205E-2</v>
      </c>
      <c r="C475" s="20">
        <v>0.97529961805384735</v>
      </c>
      <c r="D475" s="20">
        <v>1.4166225309511272E-2</v>
      </c>
      <c r="E475" s="20">
        <v>0.86734392783374781</v>
      </c>
      <c r="F475" s="20">
        <v>1.7023119971589864E-2</v>
      </c>
      <c r="G475" s="20">
        <v>0.66224782795572468</v>
      </c>
      <c r="H475">
        <v>0.8</v>
      </c>
    </row>
    <row r="476" spans="1:8" x14ac:dyDescent="0.25">
      <c r="A476" s="18">
        <v>-34453</v>
      </c>
      <c r="B476" s="20">
        <v>4.9001075878646015E-3</v>
      </c>
      <c r="C476" s="20">
        <v>1.0370678975123615</v>
      </c>
      <c r="D476" s="20">
        <v>-3.1480774186002737E-2</v>
      </c>
      <c r="E476" s="20">
        <v>0.54709429857449365</v>
      </c>
      <c r="F476" s="20">
        <v>2.2733627311054133E-3</v>
      </c>
      <c r="G476" s="20">
        <v>1.6601368210874348</v>
      </c>
      <c r="H476">
        <v>0.375</v>
      </c>
    </row>
    <row r="477" spans="1:8" x14ac:dyDescent="0.25">
      <c r="A477" s="18">
        <v>-305218</v>
      </c>
      <c r="B477" s="20">
        <v>1.9862005741168057E-4</v>
      </c>
      <c r="C477" s="20">
        <v>1.1469902089598769</v>
      </c>
      <c r="D477" s="20">
        <v>-0.10666199785849877</v>
      </c>
      <c r="E477" s="20">
        <v>0.71498864506050763</v>
      </c>
      <c r="F477" s="20">
        <v>5.2077130388349789E-2</v>
      </c>
      <c r="G477" s="20">
        <v>1.9434713310524896</v>
      </c>
      <c r="H477">
        <v>0.3</v>
      </c>
    </row>
    <row r="478" spans="1:8" x14ac:dyDescent="0.25">
      <c r="A478" s="18">
        <v>-119288</v>
      </c>
      <c r="B478" s="20">
        <v>3.9064669975061046E-4</v>
      </c>
      <c r="C478" s="20">
        <v>1.0636702731282077</v>
      </c>
      <c r="D478" s="20">
        <v>-4.8290455218747814E-2</v>
      </c>
      <c r="E478" s="20">
        <v>0.55467150303324519</v>
      </c>
      <c r="F478" s="20">
        <v>1.3472489686137141E-3</v>
      </c>
      <c r="G478" s="20">
        <v>0.85085170133699917</v>
      </c>
      <c r="H478">
        <v>0.42499999999999999</v>
      </c>
    </row>
    <row r="479" spans="1:8" x14ac:dyDescent="0.25">
      <c r="A479" s="18">
        <v>-1410345</v>
      </c>
      <c r="B479" s="20">
        <v>8.9583270198958988E-4</v>
      </c>
      <c r="C479" s="20">
        <v>1.1582836458948116</v>
      </c>
      <c r="D479" s="20">
        <v>-0.16857971786419432</v>
      </c>
      <c r="E479" s="20">
        <v>0.94426846255107189</v>
      </c>
      <c r="F479" s="20">
        <v>5.4452033590077602E-2</v>
      </c>
      <c r="G479" s="20">
        <v>1.9724847452140541</v>
      </c>
      <c r="H479">
        <v>0.3</v>
      </c>
    </row>
    <row r="480" spans="1:8" x14ac:dyDescent="0.25">
      <c r="A480" s="18">
        <v>124132.5</v>
      </c>
      <c r="B480" s="20">
        <v>7.0651541087201844E-5</v>
      </c>
      <c r="C480" s="20">
        <v>0.86972039276496682</v>
      </c>
      <c r="D480" s="20">
        <v>0.18495630601434862</v>
      </c>
      <c r="E480" s="20">
        <v>0.63696845741727603</v>
      </c>
      <c r="F480" s="20">
        <v>6.1685626801957849E-3</v>
      </c>
      <c r="G480" s="20">
        <v>1.6119443995316112</v>
      </c>
      <c r="H480">
        <v>0.42499999999999999</v>
      </c>
    </row>
    <row r="481" spans="1:8" x14ac:dyDescent="0.25">
      <c r="A481" s="18">
        <v>-921314</v>
      </c>
      <c r="B481" s="20">
        <v>5.6490525896948718E-3</v>
      </c>
      <c r="C481" s="20">
        <v>1.0966351118115276</v>
      </c>
      <c r="D481" s="20">
        <v>-8.5896579591066516E-2</v>
      </c>
      <c r="E481" s="20">
        <v>0.58447802003186278</v>
      </c>
      <c r="F481" s="20">
        <v>2.3404947224705319E-2</v>
      </c>
      <c r="G481" s="20">
        <v>2.3489559197905838</v>
      </c>
      <c r="H481">
        <v>0.42499999999999999</v>
      </c>
    </row>
    <row r="482" spans="1:8" x14ac:dyDescent="0.25">
      <c r="A482" s="18">
        <v>-173816</v>
      </c>
      <c r="B482" s="20">
        <v>3.1082523231053846E-3</v>
      </c>
      <c r="C482" s="20">
        <v>1.0315175650430584</v>
      </c>
      <c r="D482" s="20">
        <v>-1.8551401275659653E-2</v>
      </c>
      <c r="E482" s="20">
        <v>0.63310027691891457</v>
      </c>
      <c r="F482" s="20">
        <v>1.398591397318107E-3</v>
      </c>
      <c r="G482" s="20">
        <v>1.5521424318596271</v>
      </c>
      <c r="H482">
        <v>0.375</v>
      </c>
    </row>
    <row r="483" spans="1:8" x14ac:dyDescent="0.25">
      <c r="A483" s="18">
        <v>-361296</v>
      </c>
      <c r="B483" s="20">
        <v>1.9846226238632195E-3</v>
      </c>
      <c r="C483" s="20">
        <v>1.0750110925376135</v>
      </c>
      <c r="D483" s="20">
        <v>-6.9404362591767785E-2</v>
      </c>
      <c r="E483" s="20">
        <v>0.86550308964133027</v>
      </c>
      <c r="F483" s="20">
        <v>1.2125439448969749E-2</v>
      </c>
      <c r="G483" s="20">
        <v>1.0771638783383677</v>
      </c>
      <c r="H483">
        <v>0.47499999999999998</v>
      </c>
    </row>
    <row r="484" spans="1:8" x14ac:dyDescent="0.25">
      <c r="A484" s="18">
        <v>-472522</v>
      </c>
      <c r="B484" s="20">
        <v>0.10959424684217615</v>
      </c>
      <c r="C484" s="20">
        <v>1.0537789632723111</v>
      </c>
      <c r="D484" s="20">
        <v>-3.3227397368161056E-2</v>
      </c>
      <c r="E484" s="20">
        <v>0.64958217522124551</v>
      </c>
      <c r="F484" s="20">
        <v>1.2369157831930639E-4</v>
      </c>
      <c r="G484" s="20">
        <v>2.6712157712486913</v>
      </c>
      <c r="H484">
        <v>0.47499999999999998</v>
      </c>
    </row>
    <row r="485" spans="1:8" x14ac:dyDescent="0.25">
      <c r="A485" s="18">
        <v>-1120772</v>
      </c>
      <c r="B485" s="20">
        <v>6.6357378204027527E-3</v>
      </c>
      <c r="C485" s="20">
        <v>1.1317661737425382</v>
      </c>
      <c r="D485" s="20">
        <v>-0.1816729141254706</v>
      </c>
      <c r="E485" s="20">
        <v>0.47224327103047692</v>
      </c>
      <c r="F485" s="20">
        <v>0.10132716287023792</v>
      </c>
      <c r="G485" s="20">
        <v>1.5244903072751406</v>
      </c>
      <c r="H485">
        <v>0.3</v>
      </c>
    </row>
    <row r="486" spans="1:8" x14ac:dyDescent="0.25">
      <c r="A486" s="18">
        <v>-131620</v>
      </c>
      <c r="B486" s="20">
        <v>2.1159049699410928E-4</v>
      </c>
      <c r="C486" s="20">
        <v>1.2385784964183628</v>
      </c>
      <c r="D486" s="20">
        <v>-7.6839414264389005E-2</v>
      </c>
      <c r="E486" s="20">
        <v>0.85900415229078075</v>
      </c>
      <c r="F486" s="20">
        <v>3.6061165621572014E-3</v>
      </c>
      <c r="G486" s="20">
        <v>0.87373529924239302</v>
      </c>
      <c r="H486">
        <v>0.5</v>
      </c>
    </row>
    <row r="487" spans="1:8" x14ac:dyDescent="0.25">
      <c r="A487" s="18">
        <v>95595</v>
      </c>
      <c r="B487" s="20">
        <v>2.1078800812723533E-3</v>
      </c>
      <c r="C487" s="20">
        <v>0.98484334430465337</v>
      </c>
      <c r="D487" s="20">
        <v>2.0197685680528581E-2</v>
      </c>
      <c r="E487" s="20">
        <v>0.83612878060224649</v>
      </c>
      <c r="F487" s="20">
        <v>1.2073607934809617E-2</v>
      </c>
      <c r="G487" s="20">
        <v>-1.680574053141572</v>
      </c>
      <c r="H487">
        <v>0.7</v>
      </c>
    </row>
    <row r="488" spans="1:8" x14ac:dyDescent="0.25">
      <c r="A488" s="18">
        <v>-53650</v>
      </c>
      <c r="B488" s="20">
        <v>2.6465127059278833E-4</v>
      </c>
      <c r="C488" s="20">
        <v>1.0295601008685906</v>
      </c>
      <c r="D488" s="20">
        <v>-3.4198810786553527E-2</v>
      </c>
      <c r="E488" s="20">
        <v>0.48968802977393922</v>
      </c>
      <c r="F488" s="20">
        <v>1.7454461080287205E-2</v>
      </c>
      <c r="G488" s="20">
        <v>3.1809514246514805</v>
      </c>
      <c r="H488">
        <v>0.2</v>
      </c>
    </row>
    <row r="489" spans="1:8" x14ac:dyDescent="0.25">
      <c r="A489" s="18">
        <v>-1669034</v>
      </c>
      <c r="B489" s="20">
        <v>1.6139424111855979E-3</v>
      </c>
      <c r="C489" s="20">
        <v>1.2018496304946409</v>
      </c>
      <c r="D489" s="20">
        <v>-0.16896808866260382</v>
      </c>
      <c r="E489" s="20">
        <v>0.99553532239378639</v>
      </c>
      <c r="F489" s="20">
        <v>3.3101075279267478E-2</v>
      </c>
      <c r="G489" s="20">
        <v>0.904590033083296</v>
      </c>
      <c r="H489">
        <v>0.55000000000000004</v>
      </c>
    </row>
    <row r="490" spans="1:8" x14ac:dyDescent="0.25">
      <c r="A490" s="18">
        <v>-596290</v>
      </c>
      <c r="B490" s="20">
        <v>3.3711340158173518E-3</v>
      </c>
      <c r="C490" s="20">
        <v>1.0802527063985075</v>
      </c>
      <c r="D490" s="20">
        <v>-8.6348560360147444E-2</v>
      </c>
      <c r="E490" s="20">
        <v>0.25238331108988837</v>
      </c>
      <c r="F490" s="20">
        <v>3.3682006065787612E-2</v>
      </c>
      <c r="G490" s="20">
        <v>1.4177791528673316</v>
      </c>
      <c r="H490">
        <v>0.3</v>
      </c>
    </row>
    <row r="491" spans="1:8" x14ac:dyDescent="0.25">
      <c r="A491" s="18">
        <v>-1254664</v>
      </c>
      <c r="B491" s="20">
        <v>4.0675246345940113E-3</v>
      </c>
      <c r="C491" s="20">
        <v>1.1375003654545328</v>
      </c>
      <c r="D491" s="20">
        <v>-0.1027752909872568</v>
      </c>
      <c r="E491" s="20">
        <v>0.64600958867139746</v>
      </c>
      <c r="F491" s="20">
        <v>8.1317435676770584E-3</v>
      </c>
      <c r="G491" s="20">
        <v>1.4211623350778555</v>
      </c>
      <c r="H491">
        <v>0.375</v>
      </c>
    </row>
    <row r="492" spans="1:8" x14ac:dyDescent="0.25">
      <c r="A492" s="18">
        <v>1184935</v>
      </c>
      <c r="B492" s="20">
        <v>7.2314228800631137E-4</v>
      </c>
      <c r="C492" s="20">
        <v>0.78179482236882758</v>
      </c>
      <c r="D492" s="20">
        <v>0.23666154304600315</v>
      </c>
      <c r="E492" s="20">
        <v>0.5190598801768227</v>
      </c>
      <c r="F492" s="20">
        <v>8.2216935270615858E-3</v>
      </c>
      <c r="G492" s="20">
        <v>1.0129874909641059</v>
      </c>
      <c r="H492">
        <v>0.5</v>
      </c>
    </row>
    <row r="493" spans="1:8" x14ac:dyDescent="0.25">
      <c r="A493" s="18">
        <v>-807811</v>
      </c>
      <c r="B493" s="20">
        <v>3.6315508812448188E-3</v>
      </c>
      <c r="C493" s="20">
        <v>1.2073435321138546</v>
      </c>
      <c r="D493" s="20">
        <v>-7.4330450759553371E-2</v>
      </c>
      <c r="E493" s="20">
        <v>0.8780051818285376</v>
      </c>
      <c r="F493" s="20">
        <v>1.1983068567296851E-3</v>
      </c>
      <c r="G493" s="20">
        <v>0.90622932838480796</v>
      </c>
      <c r="H493">
        <v>0.6</v>
      </c>
    </row>
    <row r="494" spans="1:8" x14ac:dyDescent="0.25">
      <c r="A494" s="18">
        <v>-1727863</v>
      </c>
      <c r="B494" s="20">
        <v>2.0525988001808696E-3</v>
      </c>
      <c r="C494" s="20">
        <v>1.2104567921340756</v>
      </c>
      <c r="D494" s="20">
        <v>-0.23073602080207423</v>
      </c>
      <c r="E494" s="20">
        <v>0.87206092945578551</v>
      </c>
      <c r="F494" s="20">
        <v>3.3750489418151925E-3</v>
      </c>
      <c r="G494" s="20">
        <v>0.76861446727758587</v>
      </c>
      <c r="H494">
        <v>0.55000000000000004</v>
      </c>
    </row>
    <row r="495" spans="1:8" x14ac:dyDescent="0.25">
      <c r="A495" s="18">
        <v>-839953</v>
      </c>
      <c r="B495" s="20">
        <v>5.500401043811181E-2</v>
      </c>
      <c r="C495" s="20">
        <v>1.1628922181460455</v>
      </c>
      <c r="D495" s="20">
        <v>-5.4938268496117444E-2</v>
      </c>
      <c r="E495" s="20">
        <v>0.83756940720384832</v>
      </c>
      <c r="F495" s="20">
        <v>3.5277836080280553E-2</v>
      </c>
      <c r="G495" s="20">
        <v>0.64239816620058132</v>
      </c>
      <c r="H495">
        <v>0.65</v>
      </c>
    </row>
    <row r="496" spans="1:8" x14ac:dyDescent="0.25">
      <c r="A496" s="18">
        <v>-308732</v>
      </c>
      <c r="B496" s="20">
        <v>8.8236655092115458E-3</v>
      </c>
      <c r="C496" s="20">
        <v>1.0310218465763432</v>
      </c>
      <c r="D496" s="20">
        <v>-2.4332781836936976E-2</v>
      </c>
      <c r="E496" s="20">
        <v>0.46354349680599016</v>
      </c>
      <c r="F496" s="20">
        <v>5.1742904107723385E-2</v>
      </c>
      <c r="G496" s="20">
        <v>0.6207513224036888</v>
      </c>
      <c r="H496">
        <v>0.45</v>
      </c>
    </row>
    <row r="497" spans="1:8" x14ac:dyDescent="0.25">
      <c r="A497" s="18">
        <v>1523418.75</v>
      </c>
      <c r="B497" s="20">
        <v>2.3939363010192093E-3</v>
      </c>
      <c r="C497" s="20">
        <v>0.80096067143864647</v>
      </c>
      <c r="D497" s="20">
        <v>0.21195235012527908</v>
      </c>
      <c r="E497" s="20">
        <v>0.87656217472160891</v>
      </c>
      <c r="F497" s="20">
        <v>2.6938792660033253E-2</v>
      </c>
      <c r="G497" s="20">
        <v>0.71820881516189405</v>
      </c>
      <c r="H497">
        <v>0.7</v>
      </c>
    </row>
    <row r="498" spans="1:8" x14ac:dyDescent="0.25">
      <c r="A498" s="18">
        <v>344077.5</v>
      </c>
      <c r="B498" s="20">
        <v>2.8602764833314298E-4</v>
      </c>
      <c r="C498" s="20">
        <v>0.79559798107910651</v>
      </c>
      <c r="D498" s="20">
        <v>0.18781502421940588</v>
      </c>
      <c r="E498" s="20">
        <v>0.77223091027883739</v>
      </c>
      <c r="F498" s="20">
        <v>4.3046896237012841E-2</v>
      </c>
      <c r="G498" s="20">
        <v>0.73253520127674221</v>
      </c>
      <c r="H498">
        <v>0.65</v>
      </c>
    </row>
    <row r="499" spans="1:8" x14ac:dyDescent="0.25">
      <c r="A499" s="18">
        <v>-16574</v>
      </c>
      <c r="B499" s="20">
        <v>3.0192314017374647E-3</v>
      </c>
      <c r="C499" s="20">
        <v>1.002161158807835</v>
      </c>
      <c r="D499" s="20">
        <v>-1.5013370632147691E-3</v>
      </c>
      <c r="E499" s="20">
        <v>0.72874314090176207</v>
      </c>
      <c r="F499" s="20">
        <v>9.3851230305594651E-3</v>
      </c>
      <c r="G499" s="20">
        <v>2.6265160605357654</v>
      </c>
      <c r="H499">
        <v>0.45</v>
      </c>
    </row>
    <row r="500" spans="1:8" x14ac:dyDescent="0.25">
      <c r="A500" s="18">
        <v>-137244</v>
      </c>
      <c r="B500" s="20">
        <v>2.8586051252641742E-3</v>
      </c>
      <c r="C500" s="20">
        <v>1.0144317668627363</v>
      </c>
      <c r="D500" s="20">
        <v>-1.2770515299094821E-2</v>
      </c>
      <c r="E500" s="20">
        <v>0.93900005880249293</v>
      </c>
      <c r="F500" s="20">
        <v>3.337228084302671E-3</v>
      </c>
      <c r="G500" s="20">
        <v>1.2211162890274194</v>
      </c>
      <c r="H500">
        <v>0.4</v>
      </c>
    </row>
    <row r="501" spans="1:8" x14ac:dyDescent="0.25">
      <c r="A501" s="18">
        <v>-1628429</v>
      </c>
      <c r="B501" s="20">
        <v>1.1790279972509357E-2</v>
      </c>
      <c r="C501" s="20">
        <v>1.2441588837722706</v>
      </c>
      <c r="D501" s="20">
        <v>-0.11527035279362466</v>
      </c>
      <c r="E501" s="20">
        <v>0.59305704212367794</v>
      </c>
      <c r="F501" s="20">
        <v>6.7056505321956665E-3</v>
      </c>
      <c r="G501" s="20">
        <v>0.60784391140325256</v>
      </c>
      <c r="H501">
        <v>0.57499999999999996</v>
      </c>
    </row>
    <row r="502" spans="1:8" x14ac:dyDescent="0.25">
      <c r="A502" s="18">
        <v>-19896</v>
      </c>
      <c r="B502" s="20">
        <v>3.3853444767081827E-3</v>
      </c>
      <c r="C502" s="20">
        <v>1.0044453413629744</v>
      </c>
      <c r="D502" s="20">
        <v>-2.9513507740323852E-3</v>
      </c>
      <c r="E502" s="20">
        <v>0.63985630540341121</v>
      </c>
      <c r="F502" s="20">
        <v>3.7749283523108232E-3</v>
      </c>
      <c r="G502" s="20">
        <v>12.068273247916215</v>
      </c>
      <c r="H502">
        <v>0.375</v>
      </c>
    </row>
    <row r="503" spans="1:8" x14ac:dyDescent="0.25">
      <c r="A503" s="18">
        <v>-2410282</v>
      </c>
      <c r="B503" s="20">
        <v>0.10075349099397542</v>
      </c>
      <c r="C503" s="20">
        <v>1.2762294853755085</v>
      </c>
      <c r="D503" s="20">
        <v>-0.1173836025721826</v>
      </c>
      <c r="E503" s="20">
        <v>0.74983075894852247</v>
      </c>
      <c r="F503" s="20">
        <v>2.8326365572855786E-2</v>
      </c>
      <c r="G503" s="20">
        <v>1.0949152628097047</v>
      </c>
      <c r="H503">
        <v>0.57499999999999996</v>
      </c>
    </row>
    <row r="504" spans="1:8" x14ac:dyDescent="0.25">
      <c r="A504" s="18">
        <v>-741487</v>
      </c>
      <c r="B504" s="20">
        <v>7.742345862429105E-3</v>
      </c>
      <c r="C504" s="20">
        <v>1.136379424431015</v>
      </c>
      <c r="D504" s="20">
        <v>-0.13269461039266661</v>
      </c>
      <c r="E504" s="20">
        <v>0.62696768871623976</v>
      </c>
      <c r="F504" s="20">
        <v>3.4939470332526174E-2</v>
      </c>
      <c r="G504" s="20">
        <v>0.63898926068916506</v>
      </c>
      <c r="H504">
        <v>0.57499999999999996</v>
      </c>
    </row>
    <row r="505" spans="1:8" x14ac:dyDescent="0.25">
      <c r="A505" s="18">
        <v>625597.5</v>
      </c>
      <c r="B505" s="20">
        <v>1.2660170749697471E-2</v>
      </c>
      <c r="C505" s="20">
        <v>0.92124216179444396</v>
      </c>
      <c r="D505" s="20">
        <v>0.14023762032664558</v>
      </c>
      <c r="E505" s="20">
        <v>0.36283524065931355</v>
      </c>
      <c r="F505" s="20">
        <v>7.818480325632339E-2</v>
      </c>
      <c r="G505" s="20">
        <v>0.4611899252476111</v>
      </c>
      <c r="H505">
        <v>0.6</v>
      </c>
    </row>
    <row r="506" spans="1:8" x14ac:dyDescent="0.25">
      <c r="A506" s="18">
        <v>-1434</v>
      </c>
      <c r="B506" s="20">
        <v>2.5730817596560868E-3</v>
      </c>
      <c r="C506" s="20">
        <v>1.0010531880352618</v>
      </c>
      <c r="D506" s="20">
        <v>-4.8399753613527632E-4</v>
      </c>
      <c r="E506" s="20">
        <v>0.47881347440984329</v>
      </c>
      <c r="F506" s="20">
        <v>4.7366280492435429E-2</v>
      </c>
      <c r="G506" s="20">
        <v>12.784223071474029</v>
      </c>
      <c r="H506">
        <v>0.25</v>
      </c>
    </row>
    <row r="507" spans="1:8" x14ac:dyDescent="0.25">
      <c r="A507" s="18">
        <v>1257558.75</v>
      </c>
      <c r="B507" s="20">
        <v>3.5106074654228402E-3</v>
      </c>
      <c r="C507" s="20">
        <v>0.79987074434089156</v>
      </c>
      <c r="D507" s="20">
        <v>9.8479936286653677E-2</v>
      </c>
      <c r="E507" s="20">
        <v>0.80247844191035911</v>
      </c>
      <c r="F507" s="20">
        <v>1.2546110145935357E-3</v>
      </c>
      <c r="G507" s="20">
        <v>1.2658503564124726</v>
      </c>
      <c r="H507">
        <v>0.6</v>
      </c>
    </row>
    <row r="508" spans="1:8" x14ac:dyDescent="0.25">
      <c r="A508" s="18">
        <v>9139.0499999999993</v>
      </c>
      <c r="B508" s="20">
        <v>8.9166010513291606E-5</v>
      </c>
      <c r="C508" s="20">
        <v>0.98834820040363636</v>
      </c>
      <c r="D508" s="20">
        <v>1.7131264621198489E-2</v>
      </c>
      <c r="E508" s="20">
        <v>0.52139747722248175</v>
      </c>
      <c r="F508" s="20">
        <v>1.2754183912182833E-2</v>
      </c>
      <c r="G508" s="20">
        <v>6.2720103993668563E-2</v>
      </c>
      <c r="H508">
        <v>0.57499999999999996</v>
      </c>
    </row>
    <row r="509" spans="1:8" x14ac:dyDescent="0.25">
      <c r="A509" s="18">
        <v>-2006856</v>
      </c>
      <c r="B509" s="20">
        <v>9.0722928033579251E-4</v>
      </c>
      <c r="C509" s="20">
        <v>1.2389712086545175</v>
      </c>
      <c r="D509" s="20">
        <v>-0.37044305732145466</v>
      </c>
      <c r="E509" s="20">
        <v>0.85615887174008554</v>
      </c>
      <c r="F509" s="20">
        <v>4.7505209094761962E-2</v>
      </c>
      <c r="G509" s="20">
        <v>1.0038430724755012</v>
      </c>
      <c r="H509">
        <v>0.42499999999999999</v>
      </c>
    </row>
    <row r="510" spans="1:8" x14ac:dyDescent="0.25">
      <c r="A510" s="18">
        <v>-1330023</v>
      </c>
      <c r="B510" s="20">
        <v>2.3454157212657459E-3</v>
      </c>
      <c r="C510" s="20">
        <v>1.1485255323927672</v>
      </c>
      <c r="D510" s="20">
        <v>-8.8682341877451387E-2</v>
      </c>
      <c r="E510" s="20">
        <v>0.73611934810063928</v>
      </c>
      <c r="F510" s="20">
        <v>3.090939568496523E-2</v>
      </c>
      <c r="G510" s="20">
        <v>1.1502394917034602</v>
      </c>
      <c r="H510">
        <v>0.4</v>
      </c>
    </row>
    <row r="511" spans="1:8" x14ac:dyDescent="0.25">
      <c r="A511" s="18">
        <v>-109683</v>
      </c>
      <c r="B511" s="20">
        <v>1.1960277174051502E-2</v>
      </c>
      <c r="C511" s="20">
        <v>1.012972961351285</v>
      </c>
      <c r="D511" s="20">
        <v>-1.2085311503385734E-2</v>
      </c>
      <c r="E511" s="20">
        <v>0.62799335923479938</v>
      </c>
      <c r="F511" s="20">
        <v>2.5412727221441628E-2</v>
      </c>
      <c r="G511" s="20">
        <v>0.49705355908608601</v>
      </c>
      <c r="H511">
        <v>0.57499999999999996</v>
      </c>
    </row>
    <row r="512" spans="1:8" x14ac:dyDescent="0.25">
      <c r="A512" s="18">
        <v>983460</v>
      </c>
      <c r="B512" s="20">
        <v>1.8061827206425365E-3</v>
      </c>
      <c r="C512" s="20">
        <v>0.86669323078411387</v>
      </c>
      <c r="D512" s="20">
        <v>0.14005473393573797</v>
      </c>
      <c r="E512" s="20">
        <v>0.64505306783706373</v>
      </c>
      <c r="F512" s="20">
        <v>4.0280724679929514E-3</v>
      </c>
      <c r="G512" s="20">
        <v>0.35835733455760183</v>
      </c>
      <c r="H512">
        <v>0.625</v>
      </c>
    </row>
    <row r="513" spans="1:8" x14ac:dyDescent="0.25">
      <c r="A513" s="18">
        <v>1349877.5</v>
      </c>
      <c r="B513" s="20">
        <v>2.0054238258263076E-3</v>
      </c>
      <c r="C513" s="20">
        <v>0.85800236049300149</v>
      </c>
      <c r="D513" s="20">
        <v>0.10903782671606178</v>
      </c>
      <c r="E513" s="20">
        <v>0.66320040790901202</v>
      </c>
      <c r="F513" s="20">
        <v>2.0667612770085966E-2</v>
      </c>
      <c r="G513" s="20">
        <v>0.83089120740235023</v>
      </c>
      <c r="H513">
        <v>0.625</v>
      </c>
    </row>
    <row r="514" spans="1:8" x14ac:dyDescent="0.25">
      <c r="A514" s="18">
        <v>217948.75</v>
      </c>
      <c r="B514" s="20">
        <v>8.9840821940009603E-4</v>
      </c>
      <c r="C514" s="20">
        <v>0.97438671862758841</v>
      </c>
      <c r="D514" s="20">
        <v>2.1963517476237798E-2</v>
      </c>
      <c r="E514" s="20">
        <v>0.58043543111435547</v>
      </c>
      <c r="F514" s="20">
        <v>4.5264554831361643E-3</v>
      </c>
      <c r="G514" s="20">
        <v>0.94681807861838929</v>
      </c>
      <c r="H514">
        <v>0.57499999999999996</v>
      </c>
    </row>
    <row r="515" spans="1:8" x14ac:dyDescent="0.25">
      <c r="A515" s="18">
        <v>470263.75</v>
      </c>
      <c r="B515" s="20">
        <v>4.470886541726342E-3</v>
      </c>
      <c r="C515" s="20">
        <v>0.90524947098772102</v>
      </c>
      <c r="D515" s="20">
        <v>6.7476555362661714E-2</v>
      </c>
      <c r="E515" s="20">
        <v>0.82197461927616888</v>
      </c>
      <c r="F515" s="20">
        <v>1.849843836338589E-2</v>
      </c>
      <c r="G515" s="20">
        <v>1.1550210798292921</v>
      </c>
      <c r="H515">
        <v>0.6</v>
      </c>
    </row>
    <row r="516" spans="1:8" x14ac:dyDescent="0.25">
      <c r="A516" s="18">
        <v>-536454</v>
      </c>
      <c r="B516" s="20">
        <v>7.9228423226835026E-4</v>
      </c>
      <c r="C516" s="20">
        <v>1.0790140049832782</v>
      </c>
      <c r="D516" s="20">
        <v>-8.0541428943982044E-2</v>
      </c>
      <c r="E516" s="20">
        <v>0.72192437381925545</v>
      </c>
      <c r="F516" s="20">
        <v>7.1094978423105318E-2</v>
      </c>
      <c r="G516" s="20">
        <v>1.9033451887899937</v>
      </c>
      <c r="H516">
        <v>0.3</v>
      </c>
    </row>
    <row r="517" spans="1:8" x14ac:dyDescent="0.25">
      <c r="A517" s="18">
        <v>903731.25</v>
      </c>
      <c r="B517" s="20">
        <v>1.0118618222132085E-3</v>
      </c>
      <c r="C517" s="20">
        <v>0.84472828346751105</v>
      </c>
      <c r="D517" s="20">
        <v>0.16551857427080116</v>
      </c>
      <c r="E517" s="20">
        <v>0.65776186245425938</v>
      </c>
      <c r="F517" s="20">
        <v>1.0618683263495103E-2</v>
      </c>
      <c r="G517" s="20">
        <v>0.49733248738521529</v>
      </c>
      <c r="H517">
        <v>0.625</v>
      </c>
    </row>
    <row r="518" spans="1:8" x14ac:dyDescent="0.25">
      <c r="A518" s="18">
        <v>497896.25</v>
      </c>
      <c r="B518" s="20">
        <v>4.1038586089815147E-4</v>
      </c>
      <c r="C518" s="20">
        <v>0.8740000578777869</v>
      </c>
      <c r="D518" s="20">
        <v>9.4291263912043149E-2</v>
      </c>
      <c r="E518" s="20">
        <v>0.73079948144915774</v>
      </c>
      <c r="F518" s="20">
        <v>1.1982788447935926E-2</v>
      </c>
      <c r="G518" s="20">
        <v>1.1631258852147099</v>
      </c>
      <c r="H518">
        <v>0.5</v>
      </c>
    </row>
    <row r="519" spans="1:8" x14ac:dyDescent="0.25">
      <c r="A519" s="18">
        <v>-109359</v>
      </c>
      <c r="B519" s="20">
        <v>1.2550212841813781E-3</v>
      </c>
      <c r="C519" s="20">
        <v>1.0170054733586076</v>
      </c>
      <c r="D519" s="20">
        <v>-1.8182528585038514E-2</v>
      </c>
      <c r="E519" s="20">
        <v>0.63760485293397395</v>
      </c>
      <c r="F519" s="20">
        <v>2.2512224603500535E-4</v>
      </c>
      <c r="G519" s="20">
        <v>2.7227686688984156</v>
      </c>
      <c r="H519">
        <v>0.375</v>
      </c>
    </row>
    <row r="520" spans="1:8" x14ac:dyDescent="0.25">
      <c r="A520" s="18">
        <v>-775137</v>
      </c>
      <c r="B520" s="20">
        <v>1.6129475253588445E-3</v>
      </c>
      <c r="C520" s="20">
        <v>1.1118546307307207</v>
      </c>
      <c r="D520" s="20">
        <v>-5.836605584395841E-2</v>
      </c>
      <c r="E520" s="20">
        <v>0.53755707131377339</v>
      </c>
      <c r="F520" s="20">
        <v>5.4263308478305931E-3</v>
      </c>
      <c r="G520" s="20">
        <v>1.0598907571516365</v>
      </c>
      <c r="H520">
        <v>0.4</v>
      </c>
    </row>
    <row r="521" spans="1:8" x14ac:dyDescent="0.25">
      <c r="A521" s="18">
        <v>96312.5</v>
      </c>
      <c r="B521" s="20">
        <v>5.6270532979533271E-5</v>
      </c>
      <c r="C521" s="20">
        <v>0.83044256527374849</v>
      </c>
      <c r="D521" s="20">
        <v>0.22021685000445865</v>
      </c>
      <c r="E521" s="20">
        <v>0.44660304221025887</v>
      </c>
      <c r="F521" s="20">
        <v>2.4742027606990236E-2</v>
      </c>
      <c r="G521" s="20">
        <v>1.3843567559227989</v>
      </c>
      <c r="H521">
        <v>0.35</v>
      </c>
    </row>
    <row r="522" spans="1:8" x14ac:dyDescent="0.25">
      <c r="A522" s="18">
        <v>-578369</v>
      </c>
      <c r="B522" s="20">
        <v>2.8507879474396732E-3</v>
      </c>
      <c r="C522" s="20">
        <v>1.0985917076426357</v>
      </c>
      <c r="D522" s="20">
        <v>-6.1145352746402336E-2</v>
      </c>
      <c r="E522" s="20">
        <v>0.44386061298049173</v>
      </c>
      <c r="F522" s="20">
        <v>1.5307244378850863E-3</v>
      </c>
      <c r="G522" s="20">
        <v>0.87595862860470508</v>
      </c>
      <c r="H522">
        <v>0.4</v>
      </c>
    </row>
    <row r="523" spans="1:8" x14ac:dyDescent="0.25">
      <c r="A523" s="18">
        <v>-2657047</v>
      </c>
      <c r="B523" s="20">
        <v>1.7693377525600036E-3</v>
      </c>
      <c r="C523" s="20">
        <v>1.2711151173446635</v>
      </c>
      <c r="D523" s="20">
        <v>-0.15305729858128128</v>
      </c>
      <c r="E523" s="20">
        <v>0.69733024973038427</v>
      </c>
      <c r="F523" s="20">
        <v>3.3832265186635874E-2</v>
      </c>
      <c r="G523" s="20">
        <v>1.3905640675199797</v>
      </c>
      <c r="H523">
        <v>0.32500000000000001</v>
      </c>
    </row>
    <row r="524" spans="1:8" x14ac:dyDescent="0.25">
      <c r="A524" s="18">
        <v>2333623.75</v>
      </c>
      <c r="B524" s="20">
        <v>6.298290963974074E-3</v>
      </c>
      <c r="C524" s="20">
        <v>0.79904868596076317</v>
      </c>
      <c r="D524" s="20">
        <v>0.15764433486974647</v>
      </c>
      <c r="E524" s="20">
        <v>0.98670269334215488</v>
      </c>
      <c r="F524" s="20">
        <v>4.1167072313873866E-4</v>
      </c>
      <c r="G524" s="20">
        <v>0.62752128408216346</v>
      </c>
      <c r="H524">
        <v>0.85</v>
      </c>
    </row>
    <row r="525" spans="1:8" x14ac:dyDescent="0.25">
      <c r="A525" s="18">
        <v>366623.75</v>
      </c>
      <c r="B525" s="20">
        <v>2.5050363154358881E-4</v>
      </c>
      <c r="C525" s="20">
        <v>0.80952368547193798</v>
      </c>
      <c r="D525" s="20">
        <v>0.22382033385286079</v>
      </c>
      <c r="E525" s="20">
        <v>0.53343904240477391</v>
      </c>
      <c r="F525" s="20">
        <v>3.1461630363846263E-2</v>
      </c>
      <c r="G525" s="20">
        <v>1.0724715804449523</v>
      </c>
      <c r="H525">
        <v>0.5</v>
      </c>
    </row>
    <row r="526" spans="1:8" x14ac:dyDescent="0.25">
      <c r="A526" s="18">
        <v>-1207464</v>
      </c>
      <c r="B526" s="20">
        <v>1.1678412241454851E-3</v>
      </c>
      <c r="C526" s="20">
        <v>1.2132680763647232</v>
      </c>
      <c r="D526" s="20">
        <v>-9.3282148555497352E-2</v>
      </c>
      <c r="E526" s="20">
        <v>0.98510299765775522</v>
      </c>
      <c r="F526" s="20">
        <v>2.9076313870916681E-3</v>
      </c>
      <c r="G526" s="20">
        <v>1.4562453789817282</v>
      </c>
      <c r="H526">
        <v>0.4</v>
      </c>
    </row>
    <row r="527" spans="1:8" x14ac:dyDescent="0.25">
      <c r="A527" s="18">
        <v>-576350</v>
      </c>
      <c r="B527" s="20">
        <v>2.1682647261188633E-2</v>
      </c>
      <c r="C527" s="20">
        <v>1.0610209298420403</v>
      </c>
      <c r="D527" s="20">
        <v>-6.6933121692974218E-2</v>
      </c>
      <c r="E527" s="20">
        <v>0.80470391259425622</v>
      </c>
      <c r="F527" s="20">
        <v>4.6012964597854283E-2</v>
      </c>
      <c r="G527" s="20">
        <v>0.84810957242730067</v>
      </c>
      <c r="H527">
        <v>0.65</v>
      </c>
    </row>
    <row r="528" spans="1:8" x14ac:dyDescent="0.25">
      <c r="A528" s="18">
        <v>-1086253</v>
      </c>
      <c r="B528" s="20">
        <v>1.4252481535465252E-3</v>
      </c>
      <c r="C528" s="20">
        <v>1.1183264500669687</v>
      </c>
      <c r="D528" s="20">
        <v>-0.16894999327312588</v>
      </c>
      <c r="E528" s="20">
        <v>0.46267739894305987</v>
      </c>
      <c r="F528" s="20">
        <v>5.2881785102423461E-6</v>
      </c>
      <c r="G528" s="20">
        <v>0.94129684707454642</v>
      </c>
      <c r="H528">
        <v>0.45</v>
      </c>
    </row>
    <row r="529" spans="1:8" x14ac:dyDescent="0.25">
      <c r="A529" s="18">
        <v>242963.75</v>
      </c>
      <c r="B529" s="20">
        <v>3.540006911904832E-4</v>
      </c>
      <c r="C529" s="20">
        <v>0.89928651274620608</v>
      </c>
      <c r="D529" s="20">
        <v>6.5378179050997742E-2</v>
      </c>
      <c r="E529" s="20">
        <v>0.678646907049412</v>
      </c>
      <c r="F529" s="20">
        <v>4.0470825410988724E-2</v>
      </c>
      <c r="G529" s="20">
        <v>1.2059403554393373</v>
      </c>
      <c r="H529">
        <v>0.42499999999999999</v>
      </c>
    </row>
    <row r="530" spans="1:8" x14ac:dyDescent="0.25">
      <c r="A530" s="18">
        <v>1142900</v>
      </c>
      <c r="B530" s="20">
        <v>1.9991929324189913E-3</v>
      </c>
      <c r="C530" s="20">
        <v>0.81869243258226743</v>
      </c>
      <c r="D530" s="20">
        <v>0.2569547989776666</v>
      </c>
      <c r="E530" s="20">
        <v>0.54592548306615751</v>
      </c>
      <c r="F530" s="20">
        <v>3.9945465958491536E-2</v>
      </c>
      <c r="G530" s="20">
        <v>0.47496693513582355</v>
      </c>
      <c r="H530">
        <v>0.625</v>
      </c>
    </row>
    <row r="531" spans="1:8" x14ac:dyDescent="0.25">
      <c r="A531" s="18">
        <v>-1858837</v>
      </c>
      <c r="B531" s="20">
        <v>7.0935221917535051E-3</v>
      </c>
      <c r="C531" s="20">
        <v>1.2414585298955838</v>
      </c>
      <c r="D531" s="20">
        <v>-0.16589585414092817</v>
      </c>
      <c r="E531" s="20">
        <v>0.54509398807149323</v>
      </c>
      <c r="F531" s="20">
        <v>7.7977888668319586E-3</v>
      </c>
      <c r="G531" s="20">
        <v>0.97739309785765582</v>
      </c>
      <c r="H531">
        <v>0.57499999999999996</v>
      </c>
    </row>
    <row r="532" spans="1:8" x14ac:dyDescent="0.25">
      <c r="A532" s="18">
        <v>516892.5</v>
      </c>
      <c r="B532" s="20">
        <v>1.1313486529720685E-3</v>
      </c>
      <c r="C532" s="20">
        <v>0.91287098640013176</v>
      </c>
      <c r="D532" s="20">
        <v>0.10023156950488299</v>
      </c>
      <c r="E532" s="20">
        <v>0.94340157299971039</v>
      </c>
      <c r="F532" s="20">
        <v>2.4617688287900116E-2</v>
      </c>
      <c r="G532" s="20">
        <v>1.2373916245235199</v>
      </c>
      <c r="H532">
        <v>0.55000000000000004</v>
      </c>
    </row>
    <row r="533" spans="1:8" x14ac:dyDescent="0.25">
      <c r="A533" s="18">
        <v>-119491</v>
      </c>
      <c r="B533" s="20">
        <v>4.6053848320003665E-4</v>
      </c>
      <c r="C533" s="20">
        <v>1.2012114774377454</v>
      </c>
      <c r="D533" s="20">
        <v>-7.8536443654566107E-2</v>
      </c>
      <c r="E533" s="20">
        <v>0.7935894112412718</v>
      </c>
      <c r="F533" s="20">
        <v>8.5502723678122245E-3</v>
      </c>
      <c r="G533" s="20">
        <v>1.0745023997096541</v>
      </c>
      <c r="H533">
        <v>0.42499999999999999</v>
      </c>
    </row>
    <row r="534" spans="1:8" x14ac:dyDescent="0.25">
      <c r="A534" s="18">
        <v>-697040</v>
      </c>
      <c r="B534" s="20">
        <v>4.8088104833577256E-4</v>
      </c>
      <c r="C534" s="20">
        <v>1.2439378223841515</v>
      </c>
      <c r="D534" s="20">
        <v>-0.20491918944853149</v>
      </c>
      <c r="E534" s="20">
        <v>0.79024901350599441</v>
      </c>
      <c r="F534" s="20">
        <v>3.3891453743250109E-2</v>
      </c>
      <c r="G534" s="20">
        <v>1.3070359506593963</v>
      </c>
      <c r="H534">
        <v>0.35</v>
      </c>
    </row>
    <row r="535" spans="1:8" x14ac:dyDescent="0.25">
      <c r="A535" s="18">
        <v>-228322</v>
      </c>
      <c r="B535" s="20">
        <v>1.873721705241551E-3</v>
      </c>
      <c r="C535" s="20">
        <v>1.0228928940427093</v>
      </c>
      <c r="D535" s="20">
        <v>-1.7204053797762364E-2</v>
      </c>
      <c r="E535" s="20">
        <v>0.56445885427000597</v>
      </c>
      <c r="F535" s="20">
        <v>4.3000866449201654E-2</v>
      </c>
      <c r="G535" s="20">
        <v>2.2854176671491251</v>
      </c>
      <c r="H535">
        <v>0.32500000000000001</v>
      </c>
    </row>
    <row r="536" spans="1:8" x14ac:dyDescent="0.25">
      <c r="A536" s="18">
        <v>-1807741</v>
      </c>
      <c r="B536" s="20">
        <v>9.3457919957294199E-4</v>
      </c>
      <c r="C536" s="20">
        <v>1.2864566691145467</v>
      </c>
      <c r="D536" s="20">
        <v>-0.40861648809361006</v>
      </c>
      <c r="E536" s="20">
        <v>0.83819267060066849</v>
      </c>
      <c r="F536" s="20">
        <v>9.8540184758184407E-2</v>
      </c>
      <c r="G536" s="20">
        <v>1.5675736092927819</v>
      </c>
      <c r="H536">
        <v>0.3</v>
      </c>
    </row>
    <row r="537" spans="1:8" x14ac:dyDescent="0.25">
      <c r="A537" s="18">
        <v>-144760</v>
      </c>
      <c r="B537" s="20">
        <v>2.0712738476122864E-4</v>
      </c>
      <c r="C537" s="20">
        <v>1.0935920416825047</v>
      </c>
      <c r="D537" s="20">
        <v>-9.3107138814279691E-2</v>
      </c>
      <c r="E537" s="20">
        <v>0.77169161678875775</v>
      </c>
      <c r="F537" s="20">
        <v>5.4453140275590957E-2</v>
      </c>
      <c r="G537" s="20">
        <v>1.3515647450379296</v>
      </c>
      <c r="H537">
        <v>0.3</v>
      </c>
    </row>
    <row r="538" spans="1:8" x14ac:dyDescent="0.25">
      <c r="A538" s="18">
        <v>147558.75</v>
      </c>
      <c r="B538" s="20">
        <v>8.1723279168485362E-4</v>
      </c>
      <c r="C538" s="20">
        <v>0.9652838388843451</v>
      </c>
      <c r="D538" s="20">
        <v>4.8808650013942141E-2</v>
      </c>
      <c r="E538" s="20">
        <v>0.77738998107958968</v>
      </c>
      <c r="F538" s="20">
        <v>1.5183865885554058E-2</v>
      </c>
      <c r="G538" s="20">
        <v>0.83279625223493192</v>
      </c>
      <c r="H538">
        <v>0.65</v>
      </c>
    </row>
    <row r="539" spans="1:8" x14ac:dyDescent="0.25">
      <c r="A539" s="18">
        <v>-690638</v>
      </c>
      <c r="B539" s="20">
        <v>7.9620686554294747E-4</v>
      </c>
      <c r="C539" s="20">
        <v>1.1328063539930295</v>
      </c>
      <c r="D539" s="20">
        <v>-9.1690991012759293E-2</v>
      </c>
      <c r="E539" s="20">
        <v>0.59273425751992492</v>
      </c>
      <c r="F539" s="20">
        <v>1.165431132383832E-2</v>
      </c>
      <c r="G539" s="20">
        <v>1.7276664059105353</v>
      </c>
      <c r="H539">
        <v>0.27500000000000002</v>
      </c>
    </row>
    <row r="540" spans="1:8" x14ac:dyDescent="0.25">
      <c r="A540" s="18">
        <v>-7926</v>
      </c>
      <c r="B540" s="20">
        <v>1.3265651041456433E-4</v>
      </c>
      <c r="C540" s="20">
        <v>1.0427329897807669</v>
      </c>
      <c r="D540" s="20">
        <v>-2.179400458647485E-2</v>
      </c>
      <c r="E540" s="20">
        <v>0.60845124148627017</v>
      </c>
      <c r="F540" s="20">
        <v>3.5171222894978524E-2</v>
      </c>
      <c r="G540" s="20">
        <v>0.83116222998583222</v>
      </c>
      <c r="H540">
        <v>0.42499999999999999</v>
      </c>
    </row>
    <row r="541" spans="1:8" x14ac:dyDescent="0.25">
      <c r="A541" s="18">
        <v>550942.5</v>
      </c>
      <c r="B541" s="20">
        <v>2.9005076412381514E-4</v>
      </c>
      <c r="C541" s="20">
        <v>0.77626441515025268</v>
      </c>
      <c r="D541" s="20">
        <v>0.18154849679620785</v>
      </c>
      <c r="E541" s="20">
        <v>0.79452644057883137</v>
      </c>
      <c r="F541" s="20">
        <v>7.1229798150384636E-3</v>
      </c>
      <c r="G541" s="20">
        <v>1.0475058794718186</v>
      </c>
      <c r="H541">
        <v>0.57499999999999996</v>
      </c>
    </row>
    <row r="542" spans="1:8" x14ac:dyDescent="0.25">
      <c r="A542" s="18">
        <v>-1108273</v>
      </c>
      <c r="B542" s="20">
        <v>1.1912793370544186E-3</v>
      </c>
      <c r="C542" s="20">
        <v>1.1263002831369651</v>
      </c>
      <c r="D542" s="20">
        <v>-0.12942451574689678</v>
      </c>
      <c r="E542" s="20">
        <v>0.53054037513291263</v>
      </c>
      <c r="F542" s="20">
        <v>7.5835995536187662E-3</v>
      </c>
      <c r="G542" s="20">
        <v>0.92847101351781858</v>
      </c>
      <c r="H542">
        <v>0.47499999999999998</v>
      </c>
    </row>
    <row r="543" spans="1:8" x14ac:dyDescent="0.25">
      <c r="A543" s="18">
        <v>58491.25</v>
      </c>
      <c r="B543" s="20">
        <v>1.8744831888982885E-4</v>
      </c>
      <c r="C543" s="20">
        <v>0.8636789001256483</v>
      </c>
      <c r="D543" s="20">
        <v>0.1121028855957866</v>
      </c>
      <c r="E543" s="20">
        <v>0.41831006466695636</v>
      </c>
      <c r="F543" s="20">
        <v>3.3758557508758752E-2</v>
      </c>
      <c r="G543" s="20">
        <v>0.34986792376673204</v>
      </c>
      <c r="H543">
        <v>0.5</v>
      </c>
    </row>
    <row r="544" spans="1:8" x14ac:dyDescent="0.25">
      <c r="A544" s="18">
        <v>-637215</v>
      </c>
      <c r="B544" s="20">
        <v>2.7626152869650289E-3</v>
      </c>
      <c r="C544" s="20">
        <v>1.1205252816290792</v>
      </c>
      <c r="D544" s="20">
        <v>-6.9421089460564425E-2</v>
      </c>
      <c r="E544" s="20">
        <v>0.83704479506544816</v>
      </c>
      <c r="F544" s="20">
        <v>7.572952254078693E-3</v>
      </c>
      <c r="G544" s="20">
        <v>1.1403156788187041</v>
      </c>
      <c r="H544">
        <v>0.4</v>
      </c>
    </row>
    <row r="545" spans="1:8" x14ac:dyDescent="0.25">
      <c r="A545" s="18">
        <v>154076.25</v>
      </c>
      <c r="B545" s="20">
        <v>3.331637446515457E-4</v>
      </c>
      <c r="C545" s="20">
        <v>0.87270567196800986</v>
      </c>
      <c r="D545" s="20">
        <v>0.12443878824296199</v>
      </c>
      <c r="E545" s="20">
        <v>0.34436044889796058</v>
      </c>
      <c r="F545" s="20">
        <v>1.7241588183842433E-2</v>
      </c>
      <c r="G545" s="20">
        <v>0.27970573036734858</v>
      </c>
      <c r="H545">
        <v>0.5</v>
      </c>
    </row>
    <row r="546" spans="1:8" x14ac:dyDescent="0.25">
      <c r="A546" s="18">
        <v>1087962.5</v>
      </c>
      <c r="B546" s="20">
        <v>1.1474215048640267E-3</v>
      </c>
      <c r="C546" s="20">
        <v>0.91382345647668117</v>
      </c>
      <c r="D546" s="20">
        <v>0.12505104798803973</v>
      </c>
      <c r="E546" s="20">
        <v>0.35019675290981417</v>
      </c>
      <c r="F546" s="20">
        <v>8.8698501301184909E-3</v>
      </c>
      <c r="G546" s="20">
        <v>0.52692173083673122</v>
      </c>
      <c r="H546">
        <v>0.55000000000000004</v>
      </c>
    </row>
    <row r="547" spans="1:8" x14ac:dyDescent="0.25">
      <c r="A547" s="18">
        <v>-469029</v>
      </c>
      <c r="B547" s="20">
        <v>1.8078010767973124E-3</v>
      </c>
      <c r="C547" s="20">
        <v>1.1466878777244902</v>
      </c>
      <c r="D547" s="20">
        <v>-8.3309946414945268E-2</v>
      </c>
      <c r="E547" s="20">
        <v>0.92302223971013775</v>
      </c>
      <c r="F547" s="20">
        <v>4.0502471790047762E-2</v>
      </c>
      <c r="G547" s="20">
        <v>1.4769239354166568</v>
      </c>
      <c r="H547">
        <v>0.4</v>
      </c>
    </row>
    <row r="548" spans="1:8" x14ac:dyDescent="0.25">
      <c r="A548" s="18">
        <v>-19764</v>
      </c>
      <c r="B548" s="20">
        <v>9.3550350902786203E-4</v>
      </c>
      <c r="C548" s="20">
        <v>1.0037365145792005</v>
      </c>
      <c r="D548" s="20">
        <v>-2.9451047319714783E-3</v>
      </c>
      <c r="E548" s="20">
        <v>0.77082773850839226</v>
      </c>
      <c r="F548" s="20">
        <v>5.0619173847756084E-2</v>
      </c>
      <c r="G548" s="20">
        <v>10.740216341170559</v>
      </c>
      <c r="H548">
        <v>0.3</v>
      </c>
    </row>
    <row r="549" spans="1:8" x14ac:dyDescent="0.25">
      <c r="A549" s="18">
        <v>-1346684</v>
      </c>
      <c r="B549" s="20">
        <v>6.5055873428898035E-3</v>
      </c>
      <c r="C549" s="20">
        <v>1.1515980289714152</v>
      </c>
      <c r="D549" s="20">
        <v>-9.1669082592394605E-2</v>
      </c>
      <c r="E549" s="20">
        <v>0.80437698979903316</v>
      </c>
      <c r="F549" s="20">
        <v>5.577585727470917E-2</v>
      </c>
      <c r="G549" s="20">
        <v>0.59980974007639565</v>
      </c>
      <c r="H549">
        <v>0.6</v>
      </c>
    </row>
    <row r="550" spans="1:8" x14ac:dyDescent="0.25">
      <c r="A550" s="18">
        <v>-118627</v>
      </c>
      <c r="B550" s="20">
        <v>1.1315167776895907E-4</v>
      </c>
      <c r="C550" s="20">
        <v>1.1483462663862802</v>
      </c>
      <c r="D550" s="20">
        <v>-0.18216313249274815</v>
      </c>
      <c r="E550" s="20">
        <v>0.4317423758748874</v>
      </c>
      <c r="F550" s="20">
        <v>7.0589807021665729E-2</v>
      </c>
      <c r="G550" s="20">
        <v>1.3808524238741016</v>
      </c>
      <c r="H550">
        <v>0.15</v>
      </c>
    </row>
    <row r="551" spans="1:8" x14ac:dyDescent="0.25">
      <c r="A551" s="18">
        <v>-1721779</v>
      </c>
      <c r="B551" s="20">
        <v>3.736848599112334E-3</v>
      </c>
      <c r="C551" s="20">
        <v>1.2216562738273986</v>
      </c>
      <c r="D551" s="20">
        <v>-0.1447627578675878</v>
      </c>
      <c r="E551" s="20">
        <v>0.8464928169302578</v>
      </c>
      <c r="F551" s="20">
        <v>8.5565603182431709E-3</v>
      </c>
      <c r="G551" s="20">
        <v>1.2821310263162722</v>
      </c>
      <c r="H551">
        <v>0.45</v>
      </c>
    </row>
    <row r="552" spans="1:8" x14ac:dyDescent="0.25">
      <c r="A552" s="18">
        <v>207882.5</v>
      </c>
      <c r="B552" s="20">
        <v>8.4521059081288548E-4</v>
      </c>
      <c r="C552" s="20">
        <v>0.90434321514923588</v>
      </c>
      <c r="D552" s="20">
        <v>7.1550610571864515E-2</v>
      </c>
      <c r="E552" s="20">
        <v>0.62917947414171327</v>
      </c>
      <c r="F552" s="20">
        <v>4.0039361311437942E-3</v>
      </c>
      <c r="G552" s="20">
        <v>0.61202828470944626</v>
      </c>
      <c r="H552">
        <v>0.57499999999999996</v>
      </c>
    </row>
    <row r="553" spans="1:8" x14ac:dyDescent="0.25">
      <c r="A553" s="18">
        <v>-1399491</v>
      </c>
      <c r="B553" s="20">
        <v>2.0103741449352831E-3</v>
      </c>
      <c r="C553" s="20">
        <v>1.1442837529319652</v>
      </c>
      <c r="D553" s="20">
        <v>-0.10698238253706052</v>
      </c>
      <c r="E553" s="20">
        <v>0.96661391790079221</v>
      </c>
      <c r="F553" s="20">
        <v>2.2015808726653782E-5</v>
      </c>
      <c r="G553" s="20">
        <v>1.1530024939515187</v>
      </c>
      <c r="H553">
        <v>0.45</v>
      </c>
    </row>
    <row r="554" spans="1:8" x14ac:dyDescent="0.25">
      <c r="A554" s="18">
        <v>113007.5</v>
      </c>
      <c r="B554" s="20">
        <v>8.0081137164902071E-4</v>
      </c>
      <c r="C554" s="20">
        <v>0.89431751378225843</v>
      </c>
      <c r="D554" s="20">
        <v>8.4341319354003297E-2</v>
      </c>
      <c r="E554" s="20">
        <v>0.79865897025987298</v>
      </c>
      <c r="F554" s="20">
        <v>2.170935820515672E-2</v>
      </c>
      <c r="G554" s="20">
        <v>1.1972929892254911</v>
      </c>
      <c r="H554">
        <v>0.5</v>
      </c>
    </row>
    <row r="555" spans="1:8" x14ac:dyDescent="0.25">
      <c r="A555" s="18">
        <v>1465907.5</v>
      </c>
      <c r="B555" s="20">
        <v>1.4384385707813059E-3</v>
      </c>
      <c r="C555" s="20">
        <v>0.8550172640386241</v>
      </c>
      <c r="D555" s="20">
        <v>0.1320417436771118</v>
      </c>
      <c r="E555" s="20">
        <v>0.78623183248260931</v>
      </c>
      <c r="F555" s="20">
        <v>5.6909979589886334E-2</v>
      </c>
      <c r="G555" s="20">
        <v>1.3162906783317996</v>
      </c>
      <c r="H555">
        <v>0.5</v>
      </c>
    </row>
    <row r="556" spans="1:8" x14ac:dyDescent="0.25">
      <c r="A556" s="18">
        <v>760078.75</v>
      </c>
      <c r="B556" s="20">
        <v>8.6866774827266593E-3</v>
      </c>
      <c r="C556" s="20">
        <v>0.93375545776129809</v>
      </c>
      <c r="D556" s="20">
        <v>7.3252461678234695E-2</v>
      </c>
      <c r="E556" s="20">
        <v>0.47291617205891473</v>
      </c>
      <c r="F556" s="20">
        <v>6.2015758634245272E-2</v>
      </c>
      <c r="G556" s="20">
        <v>0.23902283884842274</v>
      </c>
      <c r="H556">
        <v>0.6</v>
      </c>
    </row>
    <row r="557" spans="1:8" x14ac:dyDescent="0.25">
      <c r="A557" s="18">
        <v>337427.5</v>
      </c>
      <c r="B557" s="20">
        <v>2.0992868969141347E-3</v>
      </c>
      <c r="C557" s="20">
        <v>0.8965944757594333</v>
      </c>
      <c r="D557" s="20">
        <v>7.4845640674381014E-2</v>
      </c>
      <c r="E557" s="20">
        <v>0.95400038766809181</v>
      </c>
      <c r="F557" s="20">
        <v>6.135023485508545E-2</v>
      </c>
      <c r="G557" s="20">
        <v>0.73393316445985091</v>
      </c>
      <c r="H557">
        <v>0.65</v>
      </c>
    </row>
    <row r="558" spans="1:8" x14ac:dyDescent="0.25">
      <c r="A558" s="18">
        <v>692288.75</v>
      </c>
      <c r="B558" s="20">
        <v>6.4366993959543253E-4</v>
      </c>
      <c r="C558" s="20">
        <v>0.86776161182517875</v>
      </c>
      <c r="D558" s="20">
        <v>0.16610722836120068</v>
      </c>
      <c r="E558" s="20">
        <v>0.53549262954698007</v>
      </c>
      <c r="F558" s="20">
        <v>1.3706288471256E-2</v>
      </c>
      <c r="G558" s="20">
        <v>0.62274286716758609</v>
      </c>
      <c r="H558">
        <v>0.57499999999999996</v>
      </c>
    </row>
    <row r="559" spans="1:8" x14ac:dyDescent="0.25">
      <c r="A559" s="18">
        <v>583012.5</v>
      </c>
      <c r="B559" s="20">
        <v>9.3456289867556344E-4</v>
      </c>
      <c r="C559" s="20">
        <v>0.92686831025506367</v>
      </c>
      <c r="D559" s="20">
        <v>0.10499226621577987</v>
      </c>
      <c r="E559" s="20">
        <v>0.42439081952639407</v>
      </c>
      <c r="F559" s="20">
        <v>2.8799859677153001E-2</v>
      </c>
      <c r="G559" s="20">
        <v>0.58130895693134255</v>
      </c>
      <c r="H559">
        <v>0.5</v>
      </c>
    </row>
    <row r="560" spans="1:8" x14ac:dyDescent="0.25">
      <c r="A560" s="18">
        <v>1054992.5</v>
      </c>
      <c r="B560" s="20">
        <v>1.1670850984522941E-3</v>
      </c>
      <c r="C560" s="20">
        <v>0.89952962068857989</v>
      </c>
      <c r="D560" s="20">
        <v>0.13414067095224788</v>
      </c>
      <c r="E560" s="20">
        <v>0.98828867126638642</v>
      </c>
      <c r="F560" s="20">
        <v>2.7634700442044333E-2</v>
      </c>
      <c r="G560" s="20">
        <v>1.4803858592885226</v>
      </c>
      <c r="H560">
        <v>0.55000000000000004</v>
      </c>
    </row>
    <row r="561" spans="1:8" x14ac:dyDescent="0.25">
      <c r="A561" s="18">
        <v>-606094</v>
      </c>
      <c r="B561" s="20">
        <v>1.7835290842878168E-3</v>
      </c>
      <c r="C561" s="20">
        <v>1.0684195462750021</v>
      </c>
      <c r="D561" s="20">
        <v>-7.8221351968981653E-2</v>
      </c>
      <c r="E561" s="20">
        <v>0.61788128863080283</v>
      </c>
      <c r="F561" s="20">
        <v>9.6807915186101157E-2</v>
      </c>
      <c r="G561" s="20">
        <v>0.45420916264715344</v>
      </c>
      <c r="H561">
        <v>0.42499999999999999</v>
      </c>
    </row>
    <row r="562" spans="1:8" x14ac:dyDescent="0.25">
      <c r="A562" s="18">
        <v>78280</v>
      </c>
      <c r="B562" s="20">
        <v>3.0742339130678366E-4</v>
      </c>
      <c r="C562" s="20">
        <v>0.9332737038058172</v>
      </c>
      <c r="D562" s="20">
        <v>4.4847185564110333E-2</v>
      </c>
      <c r="E562" s="20">
        <v>0.62160256435367478</v>
      </c>
      <c r="F562" s="20">
        <v>1.7564765741058492E-2</v>
      </c>
      <c r="G562" s="20">
        <v>0.5630231907190637</v>
      </c>
      <c r="H562">
        <v>0.57499999999999996</v>
      </c>
    </row>
    <row r="563" spans="1:8" x14ac:dyDescent="0.25">
      <c r="A563" s="18">
        <v>-801084</v>
      </c>
      <c r="B563" s="20">
        <v>1.9100686863006502E-3</v>
      </c>
      <c r="C563" s="20">
        <v>1.2518985536116349</v>
      </c>
      <c r="D563" s="20">
        <v>-0.18131907679562889</v>
      </c>
      <c r="E563" s="20">
        <v>0.78582338045509592</v>
      </c>
      <c r="F563" s="20">
        <v>1.4736005830573846E-2</v>
      </c>
      <c r="G563" s="20">
        <v>0.98524466532315513</v>
      </c>
      <c r="H563">
        <v>0.55000000000000004</v>
      </c>
    </row>
    <row r="564" spans="1:8" x14ac:dyDescent="0.25">
      <c r="A564" s="18">
        <v>-1644552</v>
      </c>
      <c r="B564" s="20">
        <v>1.9836220008168041E-3</v>
      </c>
      <c r="C564" s="20">
        <v>1.2291825777569581</v>
      </c>
      <c r="D564" s="20">
        <v>-0.2176300578034682</v>
      </c>
      <c r="E564" s="20">
        <v>0.47446789660816208</v>
      </c>
      <c r="F564" s="20">
        <v>1.9259353363399605E-2</v>
      </c>
      <c r="G564" s="20">
        <v>0.92766672935903016</v>
      </c>
      <c r="H564">
        <v>0.4</v>
      </c>
    </row>
    <row r="565" spans="1:8" x14ac:dyDescent="0.25">
      <c r="A565" s="18">
        <v>-535608</v>
      </c>
      <c r="B565" s="20">
        <v>4.3172902624940358E-4</v>
      </c>
      <c r="C565" s="20">
        <v>1.1823007223593072</v>
      </c>
      <c r="D565" s="20">
        <v>-0.1718176988833941</v>
      </c>
      <c r="E565" s="20">
        <v>0.7070183496122211</v>
      </c>
      <c r="F565" s="20">
        <v>1.5996194147250318E-2</v>
      </c>
      <c r="G565" s="20">
        <v>0.74871272203341921</v>
      </c>
      <c r="H565">
        <v>0.5</v>
      </c>
    </row>
    <row r="566" spans="1:8" x14ac:dyDescent="0.25">
      <c r="A566" s="18">
        <v>-770342</v>
      </c>
      <c r="B566" s="20">
        <v>6.5154379288931245E-4</v>
      </c>
      <c r="C566" s="20">
        <v>1.2896968756625702</v>
      </c>
      <c r="D566" s="20">
        <v>-0.3189510259038868</v>
      </c>
      <c r="E566" s="20">
        <v>0.45118488441081572</v>
      </c>
      <c r="F566" s="20">
        <v>2.0145857382052934E-2</v>
      </c>
      <c r="G566" s="20">
        <v>1.3241223402622078</v>
      </c>
      <c r="H566">
        <v>0.2</v>
      </c>
    </row>
    <row r="567" spans="1:8" x14ac:dyDescent="0.25">
      <c r="A567" s="18">
        <v>-193357</v>
      </c>
      <c r="B567" s="20">
        <v>1.4997597308392264E-3</v>
      </c>
      <c r="C567" s="20">
        <v>1.1705907505823048</v>
      </c>
      <c r="D567" s="20">
        <v>-0.1216127652615822</v>
      </c>
      <c r="E567" s="20">
        <v>0.53931774747986638</v>
      </c>
      <c r="F567" s="20">
        <v>4.4616777991622322E-2</v>
      </c>
      <c r="G567" s="20">
        <v>1.3983915794884061</v>
      </c>
      <c r="H567">
        <v>0.32500000000000001</v>
      </c>
    </row>
    <row r="568" spans="1:8" x14ac:dyDescent="0.25">
      <c r="A568" s="18">
        <v>190582.5</v>
      </c>
      <c r="B568" s="20">
        <v>1.1702394617315901E-2</v>
      </c>
      <c r="C568" s="20">
        <v>0.97385231733729982</v>
      </c>
      <c r="D568" s="20">
        <v>2.2140715891569771E-2</v>
      </c>
      <c r="E568" s="20">
        <v>0.70222011710434296</v>
      </c>
      <c r="F568" s="20">
        <v>6.3455356221763931E-2</v>
      </c>
      <c r="G568" s="20">
        <v>-0.12355685986537016</v>
      </c>
      <c r="H568">
        <v>0.75</v>
      </c>
    </row>
    <row r="569" spans="1:8" x14ac:dyDescent="0.25">
      <c r="A569" s="18">
        <v>95695</v>
      </c>
      <c r="B569" s="20">
        <v>1.2960033875202966E-4</v>
      </c>
      <c r="C569" s="20">
        <v>0.94062320046068204</v>
      </c>
      <c r="D569" s="20">
        <v>9.5116595979846549E-2</v>
      </c>
      <c r="E569" s="20">
        <v>0.61126607558067125</v>
      </c>
      <c r="F569" s="20">
        <v>8.0788723770750075E-3</v>
      </c>
      <c r="G569" s="20">
        <v>0.45313236914375093</v>
      </c>
      <c r="H569">
        <v>0.57499999999999996</v>
      </c>
    </row>
    <row r="570" spans="1:8" x14ac:dyDescent="0.25">
      <c r="A570" s="18">
        <v>893960</v>
      </c>
      <c r="B570" s="20">
        <v>2.2488804773391101E-3</v>
      </c>
      <c r="C570" s="20">
        <v>0.87275312199944977</v>
      </c>
      <c r="D570" s="20">
        <v>0.25155908892139356</v>
      </c>
      <c r="E570" s="20">
        <v>0.42338941666449231</v>
      </c>
      <c r="F570" s="20">
        <v>6.1485593236078225E-3</v>
      </c>
      <c r="G570" s="20">
        <v>0.84003054433936186</v>
      </c>
      <c r="H570">
        <v>0.55000000000000004</v>
      </c>
    </row>
    <row r="571" spans="1:8" x14ac:dyDescent="0.25">
      <c r="A571" s="18">
        <v>-1857045</v>
      </c>
      <c r="B571" s="20">
        <v>1.0708152175681928E-3</v>
      </c>
      <c r="C571" s="20">
        <v>1.2000025776296117</v>
      </c>
      <c r="D571" s="20">
        <v>-0.16987671292775283</v>
      </c>
      <c r="E571" s="20">
        <v>0.40734922599629358</v>
      </c>
      <c r="F571" s="20">
        <v>2.3417170689119244E-3</v>
      </c>
      <c r="G571" s="20">
        <v>1.2778510355830066</v>
      </c>
      <c r="H571">
        <v>0.25</v>
      </c>
    </row>
    <row r="572" spans="1:8" x14ac:dyDescent="0.25">
      <c r="A572" s="18">
        <v>1376862.5</v>
      </c>
      <c r="B572" s="20">
        <v>1.4543166971275435E-2</v>
      </c>
      <c r="C572" s="20">
        <v>0.81512669357404832</v>
      </c>
      <c r="D572" s="20">
        <v>0.15628962258132698</v>
      </c>
      <c r="E572" s="20">
        <v>0.93124542288717094</v>
      </c>
      <c r="F572" s="20">
        <v>1.755510922863766E-2</v>
      </c>
      <c r="G572" s="20">
        <v>0.96261622542645986</v>
      </c>
      <c r="H572">
        <v>0.8</v>
      </c>
    </row>
    <row r="573" spans="1:8" x14ac:dyDescent="0.25">
      <c r="A573" s="18">
        <v>434062.5</v>
      </c>
      <c r="B573" s="20">
        <v>6.6057424490003464E-4</v>
      </c>
      <c r="C573" s="20">
        <v>0.88830205717517297</v>
      </c>
      <c r="D573" s="20">
        <v>0.11675402232316734</v>
      </c>
      <c r="E573" s="20">
        <v>0.97000101755145807</v>
      </c>
      <c r="F573" s="20">
        <v>3.4850092206257975E-2</v>
      </c>
      <c r="G573" s="20">
        <v>0.61890229542844344</v>
      </c>
      <c r="H573">
        <v>0.65</v>
      </c>
    </row>
    <row r="574" spans="1:8" x14ac:dyDescent="0.25">
      <c r="A574" s="18">
        <v>544867.5</v>
      </c>
      <c r="B574" s="20">
        <v>1.4726595507835737E-2</v>
      </c>
      <c r="C574" s="20">
        <v>0.93811588607281093</v>
      </c>
      <c r="D574" s="20">
        <v>7.7993666805610262E-2</v>
      </c>
      <c r="E574" s="20">
        <v>0.42425314560655364</v>
      </c>
      <c r="F574" s="20">
        <v>3.1489906739833452E-3</v>
      </c>
      <c r="G574" s="20">
        <v>0.69557540756879144</v>
      </c>
      <c r="H574">
        <v>0.65</v>
      </c>
    </row>
    <row r="575" spans="1:8" x14ac:dyDescent="0.25">
      <c r="A575" s="18">
        <v>810205</v>
      </c>
      <c r="B575" s="20">
        <v>1.3559572230210705E-2</v>
      </c>
      <c r="C575" s="20">
        <v>0.85341686892198843</v>
      </c>
      <c r="D575" s="20">
        <v>0.16608799985732345</v>
      </c>
      <c r="E575" s="20">
        <v>0.48355119817069664</v>
      </c>
      <c r="F575" s="20">
        <v>4.6185380697298802E-4</v>
      </c>
      <c r="G575" s="20">
        <v>0.57207557490363792</v>
      </c>
      <c r="H575">
        <v>0.7</v>
      </c>
    </row>
    <row r="576" spans="1:8" x14ac:dyDescent="0.25">
      <c r="A576" s="18">
        <v>-506740</v>
      </c>
      <c r="B576" s="20">
        <v>1.807846747597787E-3</v>
      </c>
      <c r="C576" s="20">
        <v>1.0653720303165151</v>
      </c>
      <c r="D576" s="20">
        <v>-5.1036332442173211E-2</v>
      </c>
      <c r="E576" s="20">
        <v>0.64121916697347736</v>
      </c>
      <c r="F576" s="20">
        <v>2.0433769546898205E-2</v>
      </c>
      <c r="G576" s="20">
        <v>1.8216800098702943</v>
      </c>
      <c r="H576">
        <v>0.32500000000000001</v>
      </c>
    </row>
    <row r="577" spans="1:8" x14ac:dyDescent="0.25">
      <c r="A577" s="18">
        <v>2609013.75</v>
      </c>
      <c r="B577" s="20">
        <v>1.164642421675932E-3</v>
      </c>
      <c r="C577" s="20">
        <v>0.7870251893847825</v>
      </c>
      <c r="D577" s="20">
        <v>0.25893319786967284</v>
      </c>
      <c r="E577" s="20">
        <v>0.46422998101386226</v>
      </c>
      <c r="F577" s="20">
        <v>7.135760371837625E-5</v>
      </c>
      <c r="G577" s="20">
        <v>0.99240649222065958</v>
      </c>
      <c r="H577">
        <v>0.6</v>
      </c>
    </row>
    <row r="578" spans="1:8" x14ac:dyDescent="0.25">
      <c r="A578" s="18">
        <v>73342.5</v>
      </c>
      <c r="B578" s="20">
        <v>2.3270984135299157E-3</v>
      </c>
      <c r="C578" s="20">
        <v>0.99267362391920555</v>
      </c>
      <c r="D578" s="20">
        <v>9.1841430543685484E-3</v>
      </c>
      <c r="E578" s="20">
        <v>0.32642153922924089</v>
      </c>
      <c r="F578" s="20">
        <v>5.9092573983113728E-3</v>
      </c>
      <c r="G578" s="20">
        <v>-2.9339377353416216</v>
      </c>
      <c r="H578">
        <v>0.55000000000000004</v>
      </c>
    </row>
    <row r="579" spans="1:8" x14ac:dyDescent="0.25">
      <c r="A579" s="18">
        <v>-355240</v>
      </c>
      <c r="B579" s="20">
        <v>6.565164468205208E-4</v>
      </c>
      <c r="C579" s="20">
        <v>1.0540126067743087</v>
      </c>
      <c r="D579" s="20">
        <v>-6.490089842545349E-2</v>
      </c>
      <c r="E579" s="20">
        <v>0.65248702762699118</v>
      </c>
      <c r="F579" s="20">
        <v>2.746942766483922E-2</v>
      </c>
      <c r="G579" s="20">
        <v>1.3193895640919984</v>
      </c>
      <c r="H579">
        <v>0.27500000000000002</v>
      </c>
    </row>
    <row r="580" spans="1:8" x14ac:dyDescent="0.25">
      <c r="A580" s="18">
        <v>-323762</v>
      </c>
      <c r="B580" s="20">
        <v>1.3958256554366154E-3</v>
      </c>
      <c r="C580" s="20">
        <v>1.0387630256430023</v>
      </c>
      <c r="D580" s="20">
        <v>-4.9178435383222141E-2</v>
      </c>
      <c r="E580" s="20">
        <v>0.42616621599332366</v>
      </c>
      <c r="F580" s="20">
        <v>2.8316766954045423E-2</v>
      </c>
      <c r="G580" s="20">
        <v>1.0357130550384384</v>
      </c>
      <c r="H580">
        <v>0.32500000000000001</v>
      </c>
    </row>
    <row r="581" spans="1:8" x14ac:dyDescent="0.25">
      <c r="A581" s="18">
        <v>-1987492</v>
      </c>
      <c r="B581" s="20">
        <v>1.6265043152103474E-3</v>
      </c>
      <c r="C581" s="20">
        <v>1.2133059807864985</v>
      </c>
      <c r="D581" s="20">
        <v>-0.31171856350724714</v>
      </c>
      <c r="E581" s="20">
        <v>0.42128814338781867</v>
      </c>
      <c r="F581" s="20">
        <v>4.2484078371145928E-2</v>
      </c>
      <c r="G581" s="20">
        <v>0.857429435071562</v>
      </c>
      <c r="H581">
        <v>0.4</v>
      </c>
    </row>
    <row r="582" spans="1:8" x14ac:dyDescent="0.25">
      <c r="A582" s="18">
        <v>62176.25</v>
      </c>
      <c r="B582" s="20">
        <v>5.8792327187060853E-5</v>
      </c>
      <c r="C582" s="20">
        <v>0.81675628897090913</v>
      </c>
      <c r="D582" s="20">
        <v>0.21737895373513688</v>
      </c>
      <c r="E582" s="20">
        <v>0.50243376317227106</v>
      </c>
      <c r="F582" s="20">
        <v>3.9541721585724422E-3</v>
      </c>
      <c r="G582" s="20">
        <v>1.1344243440979844</v>
      </c>
      <c r="H582">
        <v>0.42499999999999999</v>
      </c>
    </row>
    <row r="583" spans="1:8" x14ac:dyDescent="0.25">
      <c r="A583" s="18">
        <v>311792.5</v>
      </c>
      <c r="B583" s="20">
        <v>8.7434155768048171E-4</v>
      </c>
      <c r="C583" s="20">
        <v>0.89862998126348659</v>
      </c>
      <c r="D583" s="20">
        <v>8.5810206265947028E-2</v>
      </c>
      <c r="E583" s="20">
        <v>0.57331484931427312</v>
      </c>
      <c r="F583" s="20">
        <v>3.960905052493276E-3</v>
      </c>
      <c r="G583" s="20">
        <v>0.88235798162545187</v>
      </c>
      <c r="H583">
        <v>0.57499999999999996</v>
      </c>
    </row>
    <row r="584" spans="1:8" x14ac:dyDescent="0.25">
      <c r="A584" s="18">
        <v>-1222325</v>
      </c>
      <c r="B584" s="20">
        <v>6.2413268599548102E-4</v>
      </c>
      <c r="C584" s="20">
        <v>1.1468572543509006</v>
      </c>
      <c r="D584" s="20">
        <v>-0.15267148399068078</v>
      </c>
      <c r="E584" s="20">
        <v>0.44717709177827369</v>
      </c>
      <c r="F584" s="20">
        <v>1.0970688748767681E-2</v>
      </c>
      <c r="G584" s="20">
        <v>1.7023894823354531</v>
      </c>
      <c r="H584">
        <v>0.2</v>
      </c>
    </row>
    <row r="585" spans="1:8" x14ac:dyDescent="0.25">
      <c r="A585" s="18">
        <v>2447.1999999999998</v>
      </c>
      <c r="B585" s="20">
        <v>5.6724737153818119E-3</v>
      </c>
      <c r="C585" s="20">
        <v>0.99899569526102516</v>
      </c>
      <c r="D585" s="20">
        <v>1.7880365653185349E-4</v>
      </c>
      <c r="E585" s="20">
        <v>0.65348271158550275</v>
      </c>
      <c r="F585" s="20">
        <v>1.7233159544342933E-2</v>
      </c>
      <c r="G585" s="20">
        <v>-8.8072078825172255</v>
      </c>
      <c r="H585">
        <v>0.72499999999999998</v>
      </c>
    </row>
    <row r="586" spans="1:8" x14ac:dyDescent="0.25">
      <c r="A586" s="18">
        <v>634980</v>
      </c>
      <c r="B586" s="20">
        <v>8.2439003999004094E-4</v>
      </c>
      <c r="C586" s="20">
        <v>0.77347852636771941</v>
      </c>
      <c r="D586" s="20">
        <v>0.14538569062095383</v>
      </c>
      <c r="E586" s="20">
        <v>0.99250996758333965</v>
      </c>
      <c r="F586" s="20">
        <v>3.5868123011616342E-2</v>
      </c>
      <c r="G586" s="20">
        <v>0.66313797139133956</v>
      </c>
      <c r="H586">
        <v>0.65</v>
      </c>
    </row>
    <row r="587" spans="1:8" x14ac:dyDescent="0.25">
      <c r="A587" s="18">
        <v>917540</v>
      </c>
      <c r="B587" s="20">
        <v>2.4815783896351322E-3</v>
      </c>
      <c r="C587" s="20">
        <v>0.86841614500805575</v>
      </c>
      <c r="D587" s="20">
        <v>8.6569140442235334E-2</v>
      </c>
      <c r="E587" s="20">
        <v>0.61373661918721001</v>
      </c>
      <c r="F587" s="20">
        <v>4.4743208439873205E-3</v>
      </c>
      <c r="G587" s="20">
        <v>0.93641516797767732</v>
      </c>
      <c r="H587">
        <v>0.625</v>
      </c>
    </row>
    <row r="588" spans="1:8" x14ac:dyDescent="0.25">
      <c r="A588" s="18">
        <v>-35717</v>
      </c>
      <c r="B588" s="20">
        <v>1.7252934604160153E-3</v>
      </c>
      <c r="C588" s="20">
        <v>1.003235863933059</v>
      </c>
      <c r="D588" s="20">
        <v>-2.2573925545420663E-3</v>
      </c>
      <c r="E588" s="20">
        <v>0.9018639953378742</v>
      </c>
      <c r="F588" s="20">
        <v>5.1753111775534651E-3</v>
      </c>
      <c r="G588" s="20">
        <v>21.00762072219301</v>
      </c>
      <c r="H588">
        <v>0.4</v>
      </c>
    </row>
    <row r="589" spans="1:8" x14ac:dyDescent="0.25">
      <c r="A589" s="18">
        <v>44338.25</v>
      </c>
      <c r="B589" s="20">
        <v>2.4139768829148159E-3</v>
      </c>
      <c r="C589" s="20">
        <v>0.99174106433431242</v>
      </c>
      <c r="D589" s="20">
        <v>9.1407914745251714E-3</v>
      </c>
      <c r="E589" s="20">
        <v>0.5816486467527282</v>
      </c>
      <c r="F589" s="20">
        <v>2.4316619497166533E-3</v>
      </c>
      <c r="G589" s="20">
        <v>6.3119739664483782E-2</v>
      </c>
      <c r="H589">
        <v>0.625</v>
      </c>
    </row>
    <row r="590" spans="1:8" x14ac:dyDescent="0.25">
      <c r="A590" s="18">
        <v>-1736587</v>
      </c>
      <c r="B590" s="20">
        <v>4.228130034570652E-3</v>
      </c>
      <c r="C590" s="20">
        <v>1.2450834645749247</v>
      </c>
      <c r="D590" s="20">
        <v>-0.1887548607512165</v>
      </c>
      <c r="E590" s="20">
        <v>0.53636322986108587</v>
      </c>
      <c r="F590" s="20">
        <v>1.1892862608562574E-2</v>
      </c>
      <c r="G590" s="20">
        <v>0.94660860336827957</v>
      </c>
      <c r="H590">
        <v>0.52500000000000002</v>
      </c>
    </row>
    <row r="591" spans="1:8" x14ac:dyDescent="0.25">
      <c r="A591" s="18">
        <v>-1708605</v>
      </c>
      <c r="B591" s="20">
        <v>9.0691843896034859E-4</v>
      </c>
      <c r="C591" s="20">
        <v>1.2488509563627215</v>
      </c>
      <c r="D591" s="20">
        <v>-0.21792105250739208</v>
      </c>
      <c r="E591" s="20">
        <v>0.94078412225801811</v>
      </c>
      <c r="F591" s="20">
        <v>6.0109863213679473E-3</v>
      </c>
      <c r="G591" s="20">
        <v>1.6416517303161884</v>
      </c>
      <c r="H591">
        <v>0.35</v>
      </c>
    </row>
    <row r="592" spans="1:8" x14ac:dyDescent="0.25">
      <c r="A592" s="18">
        <v>1309701.25</v>
      </c>
      <c r="B592" s="20">
        <v>3.6766975253173253E-3</v>
      </c>
      <c r="C592" s="20">
        <v>0.81747832948644172</v>
      </c>
      <c r="D592" s="20">
        <v>6.9746749299737343E-2</v>
      </c>
      <c r="E592" s="20">
        <v>0.84681640805737546</v>
      </c>
      <c r="F592" s="20">
        <v>1.7295707508922432E-2</v>
      </c>
      <c r="G592" s="20">
        <v>0.6196467599860882</v>
      </c>
      <c r="H592">
        <v>0.75</v>
      </c>
    </row>
    <row r="593" spans="1:8" x14ac:dyDescent="0.25">
      <c r="A593" s="18">
        <v>-533805</v>
      </c>
      <c r="B593" s="20">
        <v>4.3784781475308416E-3</v>
      </c>
      <c r="C593" s="20">
        <v>1.0962675998042879</v>
      </c>
      <c r="D593" s="20">
        <v>-5.1159026699529021E-2</v>
      </c>
      <c r="E593" s="20">
        <v>0.63282286903971452</v>
      </c>
      <c r="F593" s="20">
        <v>1.1894506053106559E-3</v>
      </c>
      <c r="G593" s="20">
        <v>0.72659847192267946</v>
      </c>
      <c r="H593">
        <v>0.52500000000000002</v>
      </c>
    </row>
    <row r="594" spans="1:8" x14ac:dyDescent="0.25">
      <c r="A594" s="18">
        <v>-8594</v>
      </c>
      <c r="B594" s="20">
        <v>1.8783633322946698E-5</v>
      </c>
      <c r="C594" s="20">
        <v>1.0493284807131715</v>
      </c>
      <c r="D594" s="20">
        <v>-5.0584779832011914E-2</v>
      </c>
      <c r="E594" s="20">
        <v>0.65665982537308243</v>
      </c>
      <c r="F594" s="20">
        <v>3.6487671652157536E-2</v>
      </c>
      <c r="G594" s="20">
        <v>1.0020165009919486</v>
      </c>
      <c r="H594">
        <v>0.35</v>
      </c>
    </row>
    <row r="595" spans="1:8" x14ac:dyDescent="0.25">
      <c r="A595" s="18">
        <v>-1024958</v>
      </c>
      <c r="B595" s="20">
        <v>5.8156941880008542E-4</v>
      </c>
      <c r="C595" s="20">
        <v>1.2260561102203815</v>
      </c>
      <c r="D595" s="20">
        <v>-0.12702654368671418</v>
      </c>
      <c r="E595" s="20">
        <v>0.76648202295765389</v>
      </c>
      <c r="F595" s="20">
        <v>1.4401558388315359E-2</v>
      </c>
      <c r="G595" s="20">
        <v>1.7919804229855789</v>
      </c>
      <c r="H595">
        <v>0.35</v>
      </c>
    </row>
    <row r="596" spans="1:8" x14ac:dyDescent="0.25">
      <c r="A596" s="18">
        <v>773998.75</v>
      </c>
      <c r="B596" s="20">
        <v>3.1533207756860291E-3</v>
      </c>
      <c r="C596" s="20">
        <v>0.92749574723513029</v>
      </c>
      <c r="D596" s="20">
        <v>5.6971597698903149E-2</v>
      </c>
      <c r="E596" s="20">
        <v>0.56768251218647747</v>
      </c>
      <c r="F596" s="20">
        <v>5.2788098069329541E-2</v>
      </c>
      <c r="G596" s="20">
        <v>0.38032739710153024</v>
      </c>
      <c r="H596">
        <v>0.625</v>
      </c>
    </row>
    <row r="597" spans="1:8" x14ac:dyDescent="0.25">
      <c r="A597" s="18">
        <v>-72696</v>
      </c>
      <c r="B597" s="20">
        <v>1.8286877847296704E-4</v>
      </c>
      <c r="C597" s="20">
        <v>1.0657175763636477</v>
      </c>
      <c r="D597" s="20">
        <v>-3.3676946653151907E-2</v>
      </c>
      <c r="E597" s="20">
        <v>0.8474466613327345</v>
      </c>
      <c r="F597" s="20">
        <v>3.4206912909496216E-3</v>
      </c>
      <c r="G597" s="20">
        <v>2.2039377971919039</v>
      </c>
      <c r="H597">
        <v>0.35</v>
      </c>
    </row>
    <row r="598" spans="1:8" x14ac:dyDescent="0.25">
      <c r="A598" s="18">
        <v>-2001351</v>
      </c>
      <c r="B598" s="20">
        <v>4.6730747581661012E-3</v>
      </c>
      <c r="C598" s="20">
        <v>1.2043991687947688</v>
      </c>
      <c r="D598" s="20">
        <v>-0.17037047504595407</v>
      </c>
      <c r="E598" s="20">
        <v>0.40777627620606832</v>
      </c>
      <c r="F598" s="20">
        <v>4.8036303232819329E-2</v>
      </c>
      <c r="G598" s="20">
        <v>1.1444535032745997</v>
      </c>
      <c r="H598">
        <v>0.3</v>
      </c>
    </row>
    <row r="599" spans="1:8" x14ac:dyDescent="0.25">
      <c r="A599" s="18">
        <v>-21472</v>
      </c>
      <c r="B599" s="20">
        <v>1.1382540634894741E-5</v>
      </c>
      <c r="C599" s="20">
        <v>1.2088374794308392</v>
      </c>
      <c r="D599" s="20">
        <v>-0.25447089915737325</v>
      </c>
      <c r="E599" s="20">
        <v>0.42472152172709382</v>
      </c>
      <c r="F599" s="20">
        <v>2.3015205205086573E-2</v>
      </c>
      <c r="G599" s="20">
        <v>1.2073141278745625</v>
      </c>
      <c r="H599">
        <v>0.2</v>
      </c>
    </row>
    <row r="600" spans="1:8" x14ac:dyDescent="0.25">
      <c r="A600" s="18">
        <v>-149754</v>
      </c>
      <c r="B600" s="20">
        <v>9.3735512450323711E-4</v>
      </c>
      <c r="C600" s="20">
        <v>1.0611204429845329</v>
      </c>
      <c r="D600" s="20">
        <v>-5.3526220356291031E-2</v>
      </c>
      <c r="E600" s="20">
        <v>0.61337876832669702</v>
      </c>
      <c r="F600" s="20">
        <v>6.1416793166269266E-2</v>
      </c>
      <c r="G600" s="20">
        <v>0.57683752094897667</v>
      </c>
      <c r="H600">
        <v>0.375</v>
      </c>
    </row>
    <row r="601" spans="1:8" x14ac:dyDescent="0.25">
      <c r="A601" s="18">
        <v>-1544318</v>
      </c>
      <c r="B601" s="20">
        <v>8.8497399441457808E-4</v>
      </c>
      <c r="C601" s="20">
        <v>1.2259256269484515</v>
      </c>
      <c r="D601" s="20">
        <v>-0.16304859198945892</v>
      </c>
      <c r="E601" s="20">
        <v>0.70799841798586516</v>
      </c>
      <c r="F601" s="20">
        <v>1.2804491781678126E-2</v>
      </c>
      <c r="G601" s="20">
        <v>1.167579366363124</v>
      </c>
      <c r="H601">
        <v>0.35</v>
      </c>
    </row>
    <row r="602" spans="1:8" x14ac:dyDescent="0.25">
      <c r="A602" s="18">
        <v>997260</v>
      </c>
      <c r="B602" s="20">
        <v>2.7131142160869339E-3</v>
      </c>
      <c r="C602" s="20">
        <v>0.902306348837977</v>
      </c>
      <c r="D602" s="20">
        <v>8.1564985110296667E-2</v>
      </c>
      <c r="E602" s="20">
        <v>0.5729148460310417</v>
      </c>
      <c r="F602" s="20">
        <v>1.2138318432724795E-3</v>
      </c>
      <c r="G602" s="20">
        <v>0.50332923305165078</v>
      </c>
      <c r="H602">
        <v>0.625</v>
      </c>
    </row>
    <row r="603" spans="1:8" x14ac:dyDescent="0.25">
      <c r="A603" s="18">
        <v>-580155</v>
      </c>
      <c r="B603" s="20">
        <v>2.0164791524365712E-2</v>
      </c>
      <c r="C603" s="20">
        <v>1.079287398934496</v>
      </c>
      <c r="D603" s="20">
        <v>-6.1531632862476954E-2</v>
      </c>
      <c r="E603" s="20">
        <v>0.84037226224674699</v>
      </c>
      <c r="F603" s="20">
        <v>1.4097585369565783E-3</v>
      </c>
      <c r="G603" s="20">
        <v>1.7540258844385788</v>
      </c>
      <c r="H603">
        <v>0.5</v>
      </c>
    </row>
    <row r="604" spans="1:8" x14ac:dyDescent="0.25">
      <c r="A604" s="18">
        <v>865450</v>
      </c>
      <c r="B604" s="20">
        <v>7.1627019434320101E-4</v>
      </c>
      <c r="C604" s="20">
        <v>0.8293942408568149</v>
      </c>
      <c r="D604" s="20">
        <v>0.11382624941554637</v>
      </c>
      <c r="E604" s="20">
        <v>0.8287649962683391</v>
      </c>
      <c r="F604" s="20">
        <v>2.8002480516568233E-3</v>
      </c>
      <c r="G604" s="20">
        <v>1.5393896363190873</v>
      </c>
      <c r="H604">
        <v>0.5</v>
      </c>
    </row>
    <row r="605" spans="1:8" x14ac:dyDescent="0.25">
      <c r="A605" s="18">
        <v>-895878</v>
      </c>
      <c r="B605" s="20">
        <v>1.1033395444598631E-3</v>
      </c>
      <c r="C605" s="20">
        <v>1.2239660529763863</v>
      </c>
      <c r="D605" s="20">
        <v>-9.7693444640512231E-2</v>
      </c>
      <c r="E605" s="20">
        <v>0.61345071066992263</v>
      </c>
      <c r="F605" s="20">
        <v>3.0101529961185557E-2</v>
      </c>
      <c r="G605" s="20">
        <v>0.96266324533531666</v>
      </c>
      <c r="H605">
        <v>0.47499999999999998</v>
      </c>
    </row>
    <row r="606" spans="1:8" x14ac:dyDescent="0.25">
      <c r="A606" s="18">
        <v>-1500949</v>
      </c>
      <c r="B606" s="20">
        <v>2.1392260774726321E-2</v>
      </c>
      <c r="C606" s="20">
        <v>1.2061582572338498</v>
      </c>
      <c r="D606" s="20">
        <v>-0.13822722214716626</v>
      </c>
      <c r="E606" s="20">
        <v>0.98343988675359395</v>
      </c>
      <c r="F606" s="20">
        <v>1.761393289333036E-2</v>
      </c>
      <c r="G606" s="20">
        <v>0.94330333877168104</v>
      </c>
      <c r="H606">
        <v>0.65</v>
      </c>
    </row>
    <row r="607" spans="1:8" x14ac:dyDescent="0.25">
      <c r="A607" s="18">
        <v>128242.5</v>
      </c>
      <c r="B607" s="20">
        <v>2.3520520920565391E-4</v>
      </c>
      <c r="C607" s="20">
        <v>0.83453298781567387</v>
      </c>
      <c r="D607" s="20">
        <v>0.15628579854831554</v>
      </c>
      <c r="E607" s="20">
        <v>0.6046166859716291</v>
      </c>
      <c r="F607" s="20">
        <v>3.1039626403303092E-3</v>
      </c>
      <c r="G607" s="20">
        <v>0.68019414179390847</v>
      </c>
      <c r="H607">
        <v>0.57499999999999996</v>
      </c>
    </row>
    <row r="608" spans="1:8" x14ac:dyDescent="0.25">
      <c r="A608" s="18">
        <v>-580951</v>
      </c>
      <c r="B608" s="20">
        <v>1.9835417374997979E-3</v>
      </c>
      <c r="C608" s="20">
        <v>1.0983610265350374</v>
      </c>
      <c r="D608" s="20">
        <v>-7.5552051170609355E-2</v>
      </c>
      <c r="E608" s="20">
        <v>0.94571048255449353</v>
      </c>
      <c r="F608" s="20">
        <v>5.4365651270695007E-3</v>
      </c>
      <c r="G608" s="20">
        <v>0.61603884002550935</v>
      </c>
      <c r="H608">
        <v>0.55000000000000004</v>
      </c>
    </row>
    <row r="609" spans="1:8" x14ac:dyDescent="0.25">
      <c r="A609" s="18">
        <v>-1262381</v>
      </c>
      <c r="B609" s="20">
        <v>3.5095070244862948E-4</v>
      </c>
      <c r="C609" s="20">
        <v>1.2658709821144689</v>
      </c>
      <c r="D609" s="20">
        <v>-0.30580409106335621</v>
      </c>
      <c r="E609" s="20">
        <v>0.27016088366743896</v>
      </c>
      <c r="F609" s="20">
        <v>8.2842567388012461E-3</v>
      </c>
      <c r="G609" s="20">
        <v>1.238201834241079</v>
      </c>
      <c r="H609">
        <v>0.2</v>
      </c>
    </row>
    <row r="610" spans="1:8" x14ac:dyDescent="0.25">
      <c r="A610" s="18">
        <v>1040216.25</v>
      </c>
      <c r="B610" s="20">
        <v>4.1046148969514466E-3</v>
      </c>
      <c r="C610" s="20">
        <v>0.90536823656235987</v>
      </c>
      <c r="D610" s="20">
        <v>7.8497058368314485E-2</v>
      </c>
      <c r="E610" s="20">
        <v>0.43291455101404641</v>
      </c>
      <c r="F610" s="20">
        <v>7.8485267391803538E-3</v>
      </c>
      <c r="G610" s="20">
        <v>0.62928799125129697</v>
      </c>
      <c r="H610">
        <v>0.6</v>
      </c>
    </row>
    <row r="611" spans="1:8" x14ac:dyDescent="0.25">
      <c r="A611" s="18">
        <v>-63449</v>
      </c>
      <c r="B611" s="20">
        <v>3.0412777776335362E-4</v>
      </c>
      <c r="C611" s="20">
        <v>1.1031506902687047</v>
      </c>
      <c r="D611" s="20">
        <v>-5.0632497238909356E-2</v>
      </c>
      <c r="E611" s="20">
        <v>0.82469976887073082</v>
      </c>
      <c r="F611" s="20">
        <v>2.807374825237326E-3</v>
      </c>
      <c r="G611" s="20">
        <v>1.8223698732359055</v>
      </c>
      <c r="H611">
        <v>0.35</v>
      </c>
    </row>
    <row r="612" spans="1:8" x14ac:dyDescent="0.25">
      <c r="A612" s="18">
        <v>706547.5</v>
      </c>
      <c r="B612" s="20">
        <v>4.6959188586322212E-3</v>
      </c>
      <c r="C612" s="20">
        <v>0.94053894770962221</v>
      </c>
      <c r="D612" s="20">
        <v>8.0130838681551284E-2</v>
      </c>
      <c r="E612" s="20">
        <v>0.56393185098280096</v>
      </c>
      <c r="F612" s="20">
        <v>3.5034839544388421E-2</v>
      </c>
      <c r="G612" s="20">
        <v>0.80322177918839011</v>
      </c>
      <c r="H612">
        <v>0.67500000000000004</v>
      </c>
    </row>
    <row r="613" spans="1:8" x14ac:dyDescent="0.25">
      <c r="A613" s="18">
        <v>-1133213</v>
      </c>
      <c r="B613" s="20">
        <v>7.2465294910665655E-4</v>
      </c>
      <c r="C613" s="20">
        <v>1.1593502937655706</v>
      </c>
      <c r="D613" s="20">
        <v>-0.15553609927843717</v>
      </c>
      <c r="E613" s="20">
        <v>0.9164076142114741</v>
      </c>
      <c r="F613" s="20">
        <v>2.8349052382617708E-2</v>
      </c>
      <c r="G613" s="20">
        <v>1.5006128383977775</v>
      </c>
      <c r="H613">
        <v>0.35</v>
      </c>
    </row>
    <row r="614" spans="1:8" x14ac:dyDescent="0.25">
      <c r="A614" s="18">
        <v>-323790</v>
      </c>
      <c r="B614" s="20">
        <v>1.1055544390030647E-3</v>
      </c>
      <c r="C614" s="20">
        <v>1.1669631107010172</v>
      </c>
      <c r="D614" s="20">
        <v>-0.15115180955964355</v>
      </c>
      <c r="E614" s="20">
        <v>0.75041257521550075</v>
      </c>
      <c r="F614" s="20">
        <v>1.1993085454760192E-2</v>
      </c>
      <c r="G614" s="20">
        <v>0.53074679068003405</v>
      </c>
      <c r="H614">
        <v>0.55000000000000004</v>
      </c>
    </row>
    <row r="615" spans="1:8" x14ac:dyDescent="0.25">
      <c r="A615" s="18">
        <v>-336562</v>
      </c>
      <c r="B615" s="20">
        <v>4.1656724166906476E-4</v>
      </c>
      <c r="C615" s="20">
        <v>1.1473270448504955</v>
      </c>
      <c r="D615" s="20">
        <v>-9.8364872001629661E-2</v>
      </c>
      <c r="E615" s="20">
        <v>0.72489966220739754</v>
      </c>
      <c r="F615" s="20">
        <v>8.3786171657606011E-3</v>
      </c>
      <c r="G615" s="20">
        <v>1.3247400104342555</v>
      </c>
      <c r="H615">
        <v>0.35</v>
      </c>
    </row>
    <row r="616" spans="1:8" x14ac:dyDescent="0.25">
      <c r="A616" s="18">
        <v>-1263033</v>
      </c>
      <c r="B616" s="20">
        <v>1.506635467952966E-3</v>
      </c>
      <c r="C616" s="20">
        <v>1.1953267036298068</v>
      </c>
      <c r="D616" s="20">
        <v>-0.11880535168851575</v>
      </c>
      <c r="E616" s="20">
        <v>0.94408015760848574</v>
      </c>
      <c r="F616" s="20">
        <v>3.276722134053333E-2</v>
      </c>
      <c r="G616" s="20">
        <v>0.86618031013024188</v>
      </c>
      <c r="H616">
        <v>0.55000000000000004</v>
      </c>
    </row>
    <row r="617" spans="1:8" x14ac:dyDescent="0.25">
      <c r="A617" s="18">
        <v>-1247581</v>
      </c>
      <c r="B617" s="20">
        <v>7.0584825200099973E-3</v>
      </c>
      <c r="C617" s="20">
        <v>1.2377692707353116</v>
      </c>
      <c r="D617" s="20">
        <v>-0.10400146651303514</v>
      </c>
      <c r="E617" s="20">
        <v>0.98940887782305997</v>
      </c>
      <c r="F617" s="20">
        <v>9.1798780940198911E-4</v>
      </c>
      <c r="G617" s="20">
        <v>0.5141753006555756</v>
      </c>
      <c r="H617">
        <v>0.65</v>
      </c>
    </row>
    <row r="618" spans="1:8" x14ac:dyDescent="0.25">
      <c r="A618" s="18">
        <v>-534713</v>
      </c>
      <c r="B618" s="20">
        <v>9.4590276644525534E-4</v>
      </c>
      <c r="C618" s="20">
        <v>1.1642128539795085</v>
      </c>
      <c r="D618" s="20">
        <v>-0.10017663031769102</v>
      </c>
      <c r="E618" s="20">
        <v>0.79624090063483544</v>
      </c>
      <c r="F618" s="20">
        <v>3.451597710025775E-2</v>
      </c>
      <c r="G618" s="20">
        <v>0.82746203006170482</v>
      </c>
      <c r="H618">
        <v>0.5</v>
      </c>
    </row>
    <row r="619" spans="1:8" x14ac:dyDescent="0.25">
      <c r="A619" s="18">
        <v>23929.200000000001</v>
      </c>
      <c r="B619" s="20">
        <v>3.0727653629782385E-5</v>
      </c>
      <c r="C619" s="20">
        <v>0.8863272301829852</v>
      </c>
      <c r="D619" s="20">
        <v>0.10412511096026318</v>
      </c>
      <c r="E619" s="20">
        <v>0.45496875965124844</v>
      </c>
      <c r="F619" s="20">
        <v>2.6369380189024072E-2</v>
      </c>
      <c r="G619" s="20">
        <v>1.0930465058154206</v>
      </c>
      <c r="H619">
        <v>0.42499999999999999</v>
      </c>
    </row>
    <row r="620" spans="1:8" x14ac:dyDescent="0.25">
      <c r="A620" s="18">
        <v>-1017225</v>
      </c>
      <c r="B620" s="20">
        <v>9.29244615805116E-3</v>
      </c>
      <c r="C620" s="20">
        <v>1.2478048581434358</v>
      </c>
      <c r="D620" s="20">
        <v>-0.27738465314136124</v>
      </c>
      <c r="E620" s="20">
        <v>0.66802511069084269</v>
      </c>
      <c r="F620" s="20">
        <v>2.6059391361256543E-2</v>
      </c>
      <c r="G620" s="20">
        <v>0.91387626161706237</v>
      </c>
      <c r="H620">
        <v>0.57499999999999996</v>
      </c>
    </row>
    <row r="621" spans="1:8" x14ac:dyDescent="0.25">
      <c r="A621" s="18">
        <v>462037.5</v>
      </c>
      <c r="B621" s="20">
        <v>3.6996566642896663E-4</v>
      </c>
      <c r="C621" s="20">
        <v>0.88309959388948744</v>
      </c>
      <c r="D621" s="20">
        <v>0.13105316497488492</v>
      </c>
      <c r="E621" s="20">
        <v>0.5022774759537233</v>
      </c>
      <c r="F621" s="20">
        <v>6.5943039613702514E-2</v>
      </c>
      <c r="G621" s="20">
        <v>0.91792099069353694</v>
      </c>
      <c r="H621">
        <v>0.52500000000000002</v>
      </c>
    </row>
    <row r="622" spans="1:8" x14ac:dyDescent="0.25">
      <c r="A622" s="18">
        <v>-1030034</v>
      </c>
      <c r="B622" s="20">
        <v>4.7318729081022052E-3</v>
      </c>
      <c r="C622" s="20">
        <v>1.104546038097092</v>
      </c>
      <c r="D622" s="20">
        <v>-0.13159599981807135</v>
      </c>
      <c r="E622" s="20">
        <v>0.91643008279108717</v>
      </c>
      <c r="F622" s="20">
        <v>6.7752327639204815E-2</v>
      </c>
      <c r="G622" s="20">
        <v>0.87534074549222329</v>
      </c>
      <c r="H622">
        <v>0.55000000000000004</v>
      </c>
    </row>
    <row r="623" spans="1:8" x14ac:dyDescent="0.25">
      <c r="A623" s="18">
        <v>-206275</v>
      </c>
      <c r="B623" s="20">
        <v>0.52218692682685552</v>
      </c>
      <c r="C623" s="20">
        <v>1.0774773577886929</v>
      </c>
      <c r="D623" s="20">
        <v>-3.8161280272796499E-2</v>
      </c>
      <c r="E623" s="20">
        <v>0.89439001233367976</v>
      </c>
      <c r="F623" s="20">
        <v>3.1892488698229975E-3</v>
      </c>
      <c r="G623" s="20">
        <v>1.0959296345362735</v>
      </c>
      <c r="H623">
        <v>0.57499999999999996</v>
      </c>
    </row>
    <row r="624" spans="1:8" x14ac:dyDescent="0.25">
      <c r="A624" s="18">
        <v>-183663</v>
      </c>
      <c r="B624" s="20">
        <v>1.5877378230594599E-3</v>
      </c>
      <c r="C624" s="20">
        <v>1.0223797547468592</v>
      </c>
      <c r="D624" s="20">
        <v>-9.5004370460713503E-3</v>
      </c>
      <c r="E624" s="20">
        <v>0.76347966860374239</v>
      </c>
      <c r="F624" s="20">
        <v>1.3757614424703257E-2</v>
      </c>
      <c r="G624" s="20">
        <v>2.5576188432941867</v>
      </c>
      <c r="H624">
        <v>0.4</v>
      </c>
    </row>
    <row r="625" spans="1:8" x14ac:dyDescent="0.25">
      <c r="A625" s="18">
        <v>-1219730</v>
      </c>
      <c r="B625" s="20">
        <v>2.2066043838763188E-2</v>
      </c>
      <c r="C625" s="20">
        <v>1.2055737344855209</v>
      </c>
      <c r="D625" s="20">
        <v>-9.7185839183502862E-2</v>
      </c>
      <c r="E625" s="20">
        <v>0.97840766056210948</v>
      </c>
      <c r="F625" s="20">
        <v>2.8048783111353968E-2</v>
      </c>
      <c r="G625" s="20">
        <v>0.65874535585789651</v>
      </c>
      <c r="H625">
        <v>0.65</v>
      </c>
    </row>
    <row r="626" spans="1:8" x14ac:dyDescent="0.25">
      <c r="A626" s="18">
        <v>-2825528</v>
      </c>
      <c r="B626" s="20">
        <v>1.4095580683842466E-3</v>
      </c>
      <c r="C626" s="20">
        <v>1.2849385630128261</v>
      </c>
      <c r="D626" s="20">
        <v>-0.19924064364491051</v>
      </c>
      <c r="E626" s="20">
        <v>0.32928852375897805</v>
      </c>
      <c r="F626" s="20">
        <v>2.5128681878426828E-2</v>
      </c>
      <c r="G626" s="20">
        <v>1.1042821504421321</v>
      </c>
      <c r="H626">
        <v>0.25</v>
      </c>
    </row>
    <row r="627" spans="1:8" x14ac:dyDescent="0.25">
      <c r="A627" s="18">
        <v>-114294</v>
      </c>
      <c r="B627" s="20">
        <v>1.7200313218384614E-3</v>
      </c>
      <c r="C627" s="20">
        <v>1.058215704708815</v>
      </c>
      <c r="D627" s="20">
        <v>-5.3393291432426146E-2</v>
      </c>
      <c r="E627" s="20">
        <v>0.83313652487376111</v>
      </c>
      <c r="F627" s="20">
        <v>1.5545597835379328E-2</v>
      </c>
      <c r="G627" s="20">
        <v>0.77406877630525295</v>
      </c>
      <c r="H627">
        <v>0.55000000000000004</v>
      </c>
    </row>
    <row r="628" spans="1:8" x14ac:dyDescent="0.25">
      <c r="A628" s="18">
        <v>75278.75</v>
      </c>
      <c r="B628" s="20">
        <v>8.2815572283959213E-4</v>
      </c>
      <c r="C628" s="20">
        <v>0.96100622126048152</v>
      </c>
      <c r="D628" s="20">
        <v>1.7805301659175134E-2</v>
      </c>
      <c r="E628" s="20">
        <v>0.7834028186969364</v>
      </c>
      <c r="F628" s="20">
        <v>1.356659738062823E-2</v>
      </c>
      <c r="G628" s="20">
        <v>0.27690944725600225</v>
      </c>
      <c r="H628">
        <v>0.65</v>
      </c>
    </row>
    <row r="629" spans="1:8" x14ac:dyDescent="0.25">
      <c r="A629" s="18">
        <v>-339254</v>
      </c>
      <c r="B629" s="20">
        <v>3.9374038906086415E-4</v>
      </c>
      <c r="C629" s="20">
        <v>1.0760917809679147</v>
      </c>
      <c r="D629" s="20">
        <v>-8.404112008585099E-2</v>
      </c>
      <c r="E629" s="20">
        <v>0.53464716570628912</v>
      </c>
      <c r="F629" s="20">
        <v>5.7883026049095787E-2</v>
      </c>
      <c r="G629" s="20">
        <v>2.0020037964433244</v>
      </c>
      <c r="H629">
        <v>0.22500000000000001</v>
      </c>
    </row>
    <row r="630" spans="1:8" x14ac:dyDescent="0.25">
      <c r="A630" s="18">
        <v>-495658</v>
      </c>
      <c r="B630" s="20">
        <v>3.0523798249766865E-2</v>
      </c>
      <c r="C630" s="20">
        <v>1.0570853135430935</v>
      </c>
      <c r="D630" s="20">
        <v>-3.150448206234361E-2</v>
      </c>
      <c r="E630" s="20">
        <v>0.85381010714918137</v>
      </c>
      <c r="F630" s="20">
        <v>9.0320077574840448E-5</v>
      </c>
      <c r="G630" s="20">
        <v>0.90512186221352897</v>
      </c>
      <c r="H630">
        <v>0.7</v>
      </c>
    </row>
    <row r="631" spans="1:8" x14ac:dyDescent="0.25">
      <c r="A631" s="18">
        <v>-450088</v>
      </c>
      <c r="B631" s="20">
        <v>1.683876011304224E-3</v>
      </c>
      <c r="C631" s="20">
        <v>1.0609510113391765</v>
      </c>
      <c r="D631" s="20">
        <v>-2.5500462034686311E-2</v>
      </c>
      <c r="E631" s="20">
        <v>0.99223724659995161</v>
      </c>
      <c r="F631" s="20">
        <v>7.9970243946382441E-3</v>
      </c>
      <c r="G631" s="20">
        <v>1.8380121128283808</v>
      </c>
      <c r="H631">
        <v>0.4</v>
      </c>
    </row>
    <row r="632" spans="1:8" x14ac:dyDescent="0.25">
      <c r="A632" s="18">
        <v>-33886</v>
      </c>
      <c r="B632" s="20">
        <v>2.2097923197074502E-4</v>
      </c>
      <c r="C632" s="20">
        <v>1.024143298314784</v>
      </c>
      <c r="D632" s="20">
        <v>-1.3951492973612138E-2</v>
      </c>
      <c r="E632" s="20">
        <v>0.75313786253870585</v>
      </c>
      <c r="F632" s="20">
        <v>5.6929551671494751E-2</v>
      </c>
      <c r="G632" s="20">
        <v>0.30493938469313353</v>
      </c>
      <c r="H632">
        <v>0.45</v>
      </c>
    </row>
    <row r="633" spans="1:8" x14ac:dyDescent="0.25">
      <c r="A633" s="18">
        <v>-186766</v>
      </c>
      <c r="B633" s="20">
        <v>1.6920590682627309E-3</v>
      </c>
      <c r="C633" s="20">
        <v>1.0286527261701139</v>
      </c>
      <c r="D633" s="20">
        <v>-1.6200167825432404E-2</v>
      </c>
      <c r="E633" s="20">
        <v>0.95965823830171981</v>
      </c>
      <c r="F633" s="20">
        <v>1.3314920069538088E-2</v>
      </c>
      <c r="G633" s="20">
        <v>2.4070366754888908</v>
      </c>
      <c r="H633">
        <v>0.4</v>
      </c>
    </row>
    <row r="634" spans="1:8" x14ac:dyDescent="0.25">
      <c r="A634" s="18">
        <v>207547.5</v>
      </c>
      <c r="B634" s="20">
        <v>2.5812149627965505E-3</v>
      </c>
      <c r="C634" s="20">
        <v>0.96732697764467923</v>
      </c>
      <c r="D634" s="20">
        <v>2.0384340041798468E-2</v>
      </c>
      <c r="E634" s="20">
        <v>0.8693844905358914</v>
      </c>
      <c r="F634" s="20">
        <v>2.1440301843118147E-2</v>
      </c>
      <c r="G634" s="20">
        <v>0.29717148559379541</v>
      </c>
      <c r="H634">
        <v>0.7</v>
      </c>
    </row>
    <row r="635" spans="1:8" x14ac:dyDescent="0.25">
      <c r="A635" s="18">
        <v>-1060563</v>
      </c>
      <c r="B635" s="20">
        <v>9.7501975625695835E-4</v>
      </c>
      <c r="C635" s="20">
        <v>1.2226976714575279</v>
      </c>
      <c r="D635" s="20">
        <v>-0.19039626820348587</v>
      </c>
      <c r="E635" s="20">
        <v>0.82952170537117575</v>
      </c>
      <c r="F635" s="20">
        <v>1.864300495503558E-2</v>
      </c>
      <c r="G635" s="20">
        <v>0.88922511793821568</v>
      </c>
      <c r="H635">
        <v>0.5</v>
      </c>
    </row>
    <row r="636" spans="1:8" x14ac:dyDescent="0.25">
      <c r="A636" s="18">
        <v>-229620</v>
      </c>
      <c r="B636" s="20">
        <v>7.944136102785961E-4</v>
      </c>
      <c r="C636" s="20">
        <v>1.3054679627881964</v>
      </c>
      <c r="D636" s="20">
        <v>-0.20555210909784269</v>
      </c>
      <c r="E636" s="20">
        <v>0.4860564685611351</v>
      </c>
      <c r="F636" s="20">
        <v>3.3711727534690608E-2</v>
      </c>
      <c r="G636" s="20">
        <v>0.53019507958800738</v>
      </c>
      <c r="H636">
        <v>0.35</v>
      </c>
    </row>
    <row r="637" spans="1:8" x14ac:dyDescent="0.25">
      <c r="A637" s="18">
        <v>241883.75</v>
      </c>
      <c r="B637" s="20">
        <v>1.887689105779563E-3</v>
      </c>
      <c r="C637" s="20">
        <v>0.86640859726846942</v>
      </c>
      <c r="D637" s="20">
        <v>0.13122720052255696</v>
      </c>
      <c r="E637" s="20">
        <v>0.92906988876327079</v>
      </c>
      <c r="F637" s="20">
        <v>3.1645294925685369E-3</v>
      </c>
      <c r="G637" s="20">
        <v>0.50945712521169217</v>
      </c>
      <c r="H637">
        <v>0.7</v>
      </c>
    </row>
    <row r="638" spans="1:8" x14ac:dyDescent="0.25">
      <c r="A638" s="18">
        <v>1384086.25</v>
      </c>
      <c r="B638" s="20">
        <v>7.6862144215183482E-4</v>
      </c>
      <c r="C638" s="20">
        <v>0.87049330088832855</v>
      </c>
      <c r="D638" s="20">
        <v>0.19079962669567083</v>
      </c>
      <c r="E638" s="20">
        <v>0.26769012628915728</v>
      </c>
      <c r="F638" s="20">
        <v>3.445207457539734E-2</v>
      </c>
      <c r="G638" s="20">
        <v>0.84704557983118467</v>
      </c>
      <c r="H638">
        <v>0.5</v>
      </c>
    </row>
    <row r="639" spans="1:8" x14ac:dyDescent="0.25">
      <c r="A639" s="18">
        <v>154940</v>
      </c>
      <c r="B639" s="20">
        <v>3.336941891836852E-4</v>
      </c>
      <c r="C639" s="20">
        <v>0.89072687533201367</v>
      </c>
      <c r="D639" s="20">
        <v>0.1368934706567865</v>
      </c>
      <c r="E639" s="20">
        <v>0.41541457628101536</v>
      </c>
      <c r="F639" s="20">
        <v>8.3875744480835887E-2</v>
      </c>
      <c r="G639" s="20">
        <v>0.48572429083413882</v>
      </c>
      <c r="H639">
        <v>0.45</v>
      </c>
    </row>
    <row r="640" spans="1:8" x14ac:dyDescent="0.25">
      <c r="A640" s="18">
        <v>-928297</v>
      </c>
      <c r="B640" s="20">
        <v>1.7913730620826307E-3</v>
      </c>
      <c r="C640" s="20">
        <v>1.0985686446418725</v>
      </c>
      <c r="D640" s="20">
        <v>-0.10075148718271536</v>
      </c>
      <c r="E640" s="20">
        <v>0.67242278606483719</v>
      </c>
      <c r="F640" s="20">
        <v>4.0293344823431984E-2</v>
      </c>
      <c r="G640" s="20">
        <v>1.1636590066667063</v>
      </c>
      <c r="H640">
        <v>0.32500000000000001</v>
      </c>
    </row>
    <row r="641" spans="1:8" x14ac:dyDescent="0.25">
      <c r="A641" s="18">
        <v>1170372.5</v>
      </c>
      <c r="B641" s="20">
        <v>1.422291690223826E-3</v>
      </c>
      <c r="C641" s="20">
        <v>0.86499087260813146</v>
      </c>
      <c r="D641" s="20">
        <v>0.11097933217395262</v>
      </c>
      <c r="E641" s="20">
        <v>0.7048229147347439</v>
      </c>
      <c r="F641" s="20">
        <v>9.1505102476232385E-3</v>
      </c>
      <c r="G641" s="20">
        <v>1.2436916387215455</v>
      </c>
      <c r="H641">
        <v>0.55000000000000004</v>
      </c>
    </row>
    <row r="642" spans="1:8" x14ac:dyDescent="0.25">
      <c r="A642" s="18">
        <v>-226164</v>
      </c>
      <c r="B642" s="20">
        <v>7.8827703705089611E-3</v>
      </c>
      <c r="C642" s="20">
        <v>1.0226936548720034</v>
      </c>
      <c r="D642" s="20">
        <v>-1.1041627507890747E-2</v>
      </c>
      <c r="E642" s="20">
        <v>0.88940440341556715</v>
      </c>
      <c r="F642" s="20">
        <v>5.7960195968822696E-3</v>
      </c>
      <c r="G642" s="20">
        <v>1.6894994375558718</v>
      </c>
      <c r="H642">
        <v>0.5</v>
      </c>
    </row>
    <row r="643" spans="1:8" x14ac:dyDescent="0.25">
      <c r="A643" s="18">
        <v>61772.5</v>
      </c>
      <c r="B643" s="20">
        <v>2.5636759164751654E-4</v>
      </c>
      <c r="C643" s="20">
        <v>0.98131081745400495</v>
      </c>
      <c r="D643" s="20">
        <v>1.9545327694516709E-2</v>
      </c>
      <c r="E643" s="20">
        <v>0.79326876859729201</v>
      </c>
      <c r="F643" s="20">
        <v>4.1227993016237441E-3</v>
      </c>
      <c r="G643" s="20">
        <v>0.90837561124687638</v>
      </c>
      <c r="H643">
        <v>0.65</v>
      </c>
    </row>
    <row r="644" spans="1:8" x14ac:dyDescent="0.25">
      <c r="A644" s="18">
        <v>28687.9</v>
      </c>
      <c r="B644" s="20">
        <v>2.0105954579064346E-4</v>
      </c>
      <c r="C644" s="20">
        <v>0.94094194401211007</v>
      </c>
      <c r="D644" s="20">
        <v>3.7073427300911205E-2</v>
      </c>
      <c r="E644" s="20">
        <v>0.53415924829635197</v>
      </c>
      <c r="F644" s="20">
        <v>2.1970424379016636E-2</v>
      </c>
      <c r="G644" s="20">
        <v>0.41452303485962722</v>
      </c>
      <c r="H644">
        <v>0.57499999999999996</v>
      </c>
    </row>
    <row r="645" spans="1:8" x14ac:dyDescent="0.25">
      <c r="A645" s="18">
        <v>-309845</v>
      </c>
      <c r="B645" s="20">
        <v>8.5277724560216858E-4</v>
      </c>
      <c r="C645" s="20">
        <v>1.061298042554814</v>
      </c>
      <c r="D645" s="20">
        <v>-7.0813766957811136E-2</v>
      </c>
      <c r="E645" s="20">
        <v>0.39772707440252192</v>
      </c>
      <c r="F645" s="20">
        <v>1.4476089654852449E-3</v>
      </c>
      <c r="G645" s="20">
        <v>2.0712218730416638</v>
      </c>
      <c r="H645">
        <v>0.2</v>
      </c>
    </row>
    <row r="646" spans="1:8" x14ac:dyDescent="0.25">
      <c r="A646" s="18">
        <v>84362.5</v>
      </c>
      <c r="B646" s="20">
        <v>5.513533871613378E-4</v>
      </c>
      <c r="C646" s="20">
        <v>0.95584377732439518</v>
      </c>
      <c r="D646" s="20">
        <v>2.5784885968834711E-2</v>
      </c>
      <c r="E646" s="20">
        <v>0.7695870907707818</v>
      </c>
      <c r="F646" s="20">
        <v>1.7136232529010958E-2</v>
      </c>
      <c r="G646" s="20">
        <v>0.75673743037923236</v>
      </c>
      <c r="H646">
        <v>0.65</v>
      </c>
    </row>
    <row r="647" spans="1:8" x14ac:dyDescent="0.25">
      <c r="A647" s="18">
        <v>289477.5</v>
      </c>
      <c r="B647" s="20">
        <v>7.833968270088735E-4</v>
      </c>
      <c r="C647" s="20">
        <v>0.95696299083936109</v>
      </c>
      <c r="D647" s="20">
        <v>2.8285750299979286E-2</v>
      </c>
      <c r="E647" s="20">
        <v>0.85126183227695429</v>
      </c>
      <c r="F647" s="20">
        <v>4.7732860141254087E-4</v>
      </c>
      <c r="G647" s="20">
        <v>0.76007241494847089</v>
      </c>
      <c r="H647">
        <v>0.7</v>
      </c>
    </row>
    <row r="648" spans="1:8" x14ac:dyDescent="0.25">
      <c r="A648" s="18">
        <v>-111853</v>
      </c>
      <c r="B648" s="20">
        <v>4.0685628290498566E-4</v>
      </c>
      <c r="C648" s="20">
        <v>1.0621718972482053</v>
      </c>
      <c r="D648" s="20">
        <v>-3.5301038614860378E-2</v>
      </c>
      <c r="E648" s="20">
        <v>0.93513171482344026</v>
      </c>
      <c r="F648" s="20">
        <v>1.038109897060072E-2</v>
      </c>
      <c r="G648" s="20">
        <v>1.8703744579301136</v>
      </c>
      <c r="H648">
        <v>0.35</v>
      </c>
    </row>
    <row r="649" spans="1:8" x14ac:dyDescent="0.25">
      <c r="A649" s="18">
        <v>-1073964</v>
      </c>
      <c r="B649" s="20">
        <v>1.1606449717984427E-2</v>
      </c>
      <c r="C649" s="20">
        <v>1.1172924754880444</v>
      </c>
      <c r="D649" s="20">
        <v>-4.5024213274019002E-2</v>
      </c>
      <c r="E649" s="20">
        <v>0.96753546256290157</v>
      </c>
      <c r="F649" s="20">
        <v>2.5931336527783972E-2</v>
      </c>
      <c r="G649" s="20">
        <v>0.94841962011550107</v>
      </c>
      <c r="H649">
        <v>0.65</v>
      </c>
    </row>
    <row r="650" spans="1:8" x14ac:dyDescent="0.25">
      <c r="A650" s="18">
        <v>2419700</v>
      </c>
      <c r="B650" s="20">
        <v>1.4518067168835893E-3</v>
      </c>
      <c r="C650" s="20">
        <v>0.80053959502985284</v>
      </c>
      <c r="D650" s="20">
        <v>0.2714629877151134</v>
      </c>
      <c r="E650" s="20">
        <v>0.7875194625727977</v>
      </c>
      <c r="F650" s="20">
        <v>8.7817945569185988E-3</v>
      </c>
      <c r="G650" s="20">
        <v>0.606512214307248</v>
      </c>
      <c r="H650">
        <v>0.7</v>
      </c>
    </row>
    <row r="651" spans="1:8" x14ac:dyDescent="0.25">
      <c r="A651" s="18">
        <v>192067.5</v>
      </c>
      <c r="B651" s="20">
        <v>5.948234546101161E-3</v>
      </c>
      <c r="C651" s="20">
        <v>0.84086326893667485</v>
      </c>
      <c r="D651" s="20">
        <v>0.1117235975617914</v>
      </c>
      <c r="E651" s="20">
        <v>0.76665565156974047</v>
      </c>
      <c r="F651" s="20">
        <v>1.1297568364481822E-2</v>
      </c>
      <c r="G651" s="20">
        <v>0.42371522894010788</v>
      </c>
      <c r="H651">
        <v>0.8</v>
      </c>
    </row>
    <row r="652" spans="1:8" x14ac:dyDescent="0.25">
      <c r="A652" s="18">
        <v>32961.300000000003</v>
      </c>
      <c r="B652" s="20">
        <v>8.0717922239993993E-4</v>
      </c>
      <c r="C652" s="20">
        <v>0.98107441906472792</v>
      </c>
      <c r="D652" s="20">
        <v>1.962739199405485E-2</v>
      </c>
      <c r="E652" s="20">
        <v>0.44864121461980616</v>
      </c>
      <c r="F652" s="20">
        <v>1.7702066034994451E-2</v>
      </c>
      <c r="G652" s="20">
        <v>2.8732801806836458E-2</v>
      </c>
      <c r="H652">
        <v>0.5</v>
      </c>
    </row>
    <row r="653" spans="1:8" x14ac:dyDescent="0.25">
      <c r="A653" s="18">
        <v>1308882.5</v>
      </c>
      <c r="B653" s="20">
        <v>6.3312612881604889E-3</v>
      </c>
      <c r="C653" s="20">
        <v>0.88811405316348657</v>
      </c>
      <c r="D653" s="20">
        <v>7.6928866207692972E-2</v>
      </c>
      <c r="E653" s="20">
        <v>0.85591536282825775</v>
      </c>
      <c r="F653" s="20">
        <v>2.285151125601498E-3</v>
      </c>
      <c r="G653" s="20">
        <v>0.61898126548084575</v>
      </c>
      <c r="H653">
        <v>0.8</v>
      </c>
    </row>
    <row r="654" spans="1:8" x14ac:dyDescent="0.25">
      <c r="A654" s="18">
        <v>646407.5</v>
      </c>
      <c r="B654" s="20">
        <v>1.1379754404676279E-3</v>
      </c>
      <c r="C654" s="20">
        <v>0.88211156812726155</v>
      </c>
      <c r="D654" s="20">
        <v>6.654565257786775E-2</v>
      </c>
      <c r="E654" s="20">
        <v>0.7891048518305861</v>
      </c>
      <c r="F654" s="20">
        <v>4.9202753417965983E-2</v>
      </c>
      <c r="G654" s="20">
        <v>1.5720478487645606</v>
      </c>
      <c r="H654">
        <v>0.55000000000000004</v>
      </c>
    </row>
    <row r="655" spans="1:8" x14ac:dyDescent="0.25">
      <c r="A655" s="18">
        <v>-1951081</v>
      </c>
      <c r="B655" s="20">
        <v>6.7559408640627174E-4</v>
      </c>
      <c r="C655" s="20">
        <v>1.2242586166486917</v>
      </c>
      <c r="D655" s="20">
        <v>-0.27141392717144036</v>
      </c>
      <c r="E655" s="20">
        <v>0.40001761760460564</v>
      </c>
      <c r="F655" s="20">
        <v>2.702202284428596E-3</v>
      </c>
      <c r="G655" s="20">
        <v>1.4838591125333436</v>
      </c>
      <c r="H655">
        <v>0.2</v>
      </c>
    </row>
    <row r="656" spans="1:8" x14ac:dyDescent="0.25">
      <c r="A656" s="18">
        <v>-206238</v>
      </c>
      <c r="B656" s="20">
        <v>5.7135832313752954E-4</v>
      </c>
      <c r="C656" s="20">
        <v>1.0564775107375788</v>
      </c>
      <c r="D656" s="20">
        <v>-2.6914267101113224E-2</v>
      </c>
      <c r="E656" s="20">
        <v>0.60860738807269377</v>
      </c>
      <c r="F656" s="20">
        <v>4.9316331313873718E-4</v>
      </c>
      <c r="G656" s="20">
        <v>2.2982292184262918</v>
      </c>
      <c r="H656">
        <v>0.32500000000000001</v>
      </c>
    </row>
    <row r="657" spans="1:8" x14ac:dyDescent="0.25">
      <c r="A657" s="18">
        <v>-1564246</v>
      </c>
      <c r="B657" s="20">
        <v>1.8414575212161851E-3</v>
      </c>
      <c r="C657" s="20">
        <v>1.1915005447633404</v>
      </c>
      <c r="D657" s="20">
        <v>-0.19540515333769221</v>
      </c>
      <c r="E657" s="20">
        <v>0.3433369789455174</v>
      </c>
      <c r="F657" s="20">
        <v>6.1526453871773919E-2</v>
      </c>
      <c r="G657" s="20">
        <v>0.79122463647964714</v>
      </c>
      <c r="H657">
        <v>0.35</v>
      </c>
    </row>
    <row r="658" spans="1:8" x14ac:dyDescent="0.25">
      <c r="A658" s="18">
        <v>-591819</v>
      </c>
      <c r="B658" s="20">
        <v>3.1859754090383121E-3</v>
      </c>
      <c r="C658" s="20">
        <v>1.0591222569357304</v>
      </c>
      <c r="D658" s="20">
        <v>-8.2245059618110558E-2</v>
      </c>
      <c r="E658" s="20">
        <v>0.54527466511960765</v>
      </c>
      <c r="F658" s="20">
        <v>1.9068901303538176E-2</v>
      </c>
      <c r="G658" s="20">
        <v>0.60398940185208982</v>
      </c>
      <c r="H658">
        <v>0.52500000000000002</v>
      </c>
    </row>
    <row r="659" spans="1:8" x14ac:dyDescent="0.25">
      <c r="A659" s="18">
        <v>842820</v>
      </c>
      <c r="B659" s="20">
        <v>5.8047175723470066E-4</v>
      </c>
      <c r="C659" s="20">
        <v>0.79832078676348872</v>
      </c>
      <c r="D659" s="20">
        <v>0.17924301185766045</v>
      </c>
      <c r="E659" s="20">
        <v>0.8795737438864295</v>
      </c>
      <c r="F659" s="20">
        <v>1.6715056310914168E-2</v>
      </c>
      <c r="G659" s="20">
        <v>1.1223450938518365</v>
      </c>
      <c r="H659">
        <v>0.5</v>
      </c>
    </row>
    <row r="660" spans="1:8" x14ac:dyDescent="0.25">
      <c r="A660" s="18">
        <v>-123729</v>
      </c>
      <c r="B660" s="20">
        <v>1.6132734739973331E-3</v>
      </c>
      <c r="C660" s="20">
        <v>1.0246253051576872</v>
      </c>
      <c r="D660" s="20">
        <v>-2.1244735562460336E-2</v>
      </c>
      <c r="E660" s="20">
        <v>0.29732876631553967</v>
      </c>
      <c r="F660" s="20">
        <v>4.4441742971821352E-2</v>
      </c>
      <c r="G660" s="20">
        <v>0.30968573625816143</v>
      </c>
      <c r="H660">
        <v>0.4</v>
      </c>
    </row>
    <row r="661" spans="1:8" x14ac:dyDescent="0.25">
      <c r="A661" s="18">
        <v>686773.75</v>
      </c>
      <c r="B661" s="20">
        <v>3.3980854235079461E-3</v>
      </c>
      <c r="C661" s="20">
        <v>0.92791436948308981</v>
      </c>
      <c r="D661" s="20">
        <v>6.791645264782431E-2</v>
      </c>
      <c r="E661" s="20">
        <v>0.78370358383388028</v>
      </c>
      <c r="F661" s="20">
        <v>2.3594353581345325E-2</v>
      </c>
      <c r="G661" s="20">
        <v>0.21624333700945073</v>
      </c>
      <c r="H661">
        <v>0.75</v>
      </c>
    </row>
    <row r="662" spans="1:8" x14ac:dyDescent="0.25">
      <c r="A662" s="18">
        <v>384912.5</v>
      </c>
      <c r="B662" s="20">
        <v>2.6444810417099044E-3</v>
      </c>
      <c r="C662" s="20">
        <v>0.95744907863078665</v>
      </c>
      <c r="D662" s="20">
        <v>2.9451092765328014E-2</v>
      </c>
      <c r="E662" s="20">
        <v>0.93682882177703997</v>
      </c>
      <c r="F662" s="20">
        <v>1.3630921770904261E-3</v>
      </c>
      <c r="G662" s="20">
        <v>0.58817848649973203</v>
      </c>
      <c r="H662">
        <v>0.7</v>
      </c>
    </row>
    <row r="663" spans="1:8" x14ac:dyDescent="0.25">
      <c r="A663" s="18">
        <v>-114955</v>
      </c>
      <c r="B663" s="20">
        <v>0.74850982237341979</v>
      </c>
      <c r="C663" s="20">
        <v>1.0159873888099609</v>
      </c>
      <c r="D663" s="20">
        <v>-1.3013161229733831E-2</v>
      </c>
      <c r="E663" s="20">
        <v>0.57107518333721541</v>
      </c>
      <c r="F663" s="20">
        <v>3.7975948829879588E-3</v>
      </c>
      <c r="G663" s="20">
        <v>0.47480662296774528</v>
      </c>
      <c r="H663">
        <v>0.57499999999999996</v>
      </c>
    </row>
    <row r="664" spans="1:8" x14ac:dyDescent="0.25">
      <c r="A664" s="18">
        <v>811597.5</v>
      </c>
      <c r="B664" s="20">
        <v>2.8978967667561291E-3</v>
      </c>
      <c r="C664" s="20">
        <v>0.9257166625947636</v>
      </c>
      <c r="D664" s="20">
        <v>5.313475738762645E-2</v>
      </c>
      <c r="E664" s="20">
        <v>0.8376104447159769</v>
      </c>
      <c r="F664" s="20">
        <v>6.5516483740949844E-3</v>
      </c>
      <c r="G664" s="20">
        <v>0.74194230584298515</v>
      </c>
      <c r="H664">
        <v>0.7</v>
      </c>
    </row>
    <row r="665" spans="1:8" x14ac:dyDescent="0.25">
      <c r="A665" s="18">
        <v>-1223065</v>
      </c>
      <c r="B665" s="20">
        <v>1.3532395024228667E-2</v>
      </c>
      <c r="C665" s="20">
        <v>1.1944595462113274</v>
      </c>
      <c r="D665" s="20">
        <v>-9.2435455630807475E-2</v>
      </c>
      <c r="E665" s="20">
        <v>0.84843087932686501</v>
      </c>
      <c r="F665" s="20">
        <v>3.0616956114839699E-3</v>
      </c>
      <c r="G665" s="20">
        <v>1.6670513533154481</v>
      </c>
      <c r="H665">
        <v>0.5</v>
      </c>
    </row>
    <row r="666" spans="1:8" x14ac:dyDescent="0.25">
      <c r="A666" s="18">
        <v>442262.5</v>
      </c>
      <c r="B666" s="20">
        <v>5.3312744332337748E-3</v>
      </c>
      <c r="C666" s="20">
        <v>0.82830816135312135</v>
      </c>
      <c r="D666" s="20">
        <v>0.16374743509712752</v>
      </c>
      <c r="E666" s="20">
        <v>0.51799343475529158</v>
      </c>
      <c r="F666" s="20">
        <v>7.3735172436263409E-3</v>
      </c>
      <c r="G666" s="20">
        <v>0.72999706652220253</v>
      </c>
      <c r="H666">
        <v>0.72499999999999998</v>
      </c>
    </row>
    <row r="667" spans="1:8" x14ac:dyDescent="0.25">
      <c r="A667" s="18">
        <v>-136866</v>
      </c>
      <c r="B667" s="20">
        <v>3.6900779957876133E-3</v>
      </c>
      <c r="C667" s="20">
        <v>1.0216716558553449</v>
      </c>
      <c r="D667" s="20">
        <v>-9.7272840987269651E-3</v>
      </c>
      <c r="E667" s="20">
        <v>0.98392999836434969</v>
      </c>
      <c r="F667" s="20">
        <v>2.9923626470471178E-2</v>
      </c>
      <c r="G667" s="20">
        <v>3.6171337837107407</v>
      </c>
      <c r="H667">
        <v>0.45</v>
      </c>
    </row>
    <row r="668" spans="1:8" x14ac:dyDescent="0.25">
      <c r="A668" s="18">
        <v>-1192454</v>
      </c>
      <c r="B668" s="20">
        <v>2.0168284591835653E-3</v>
      </c>
      <c r="C668" s="20">
        <v>1.1686792448563939</v>
      </c>
      <c r="D668" s="20">
        <v>-0.10152537436212147</v>
      </c>
      <c r="E668" s="20">
        <v>0.63302378238611168</v>
      </c>
      <c r="F668" s="20">
        <v>6.1299852478153326E-3</v>
      </c>
      <c r="G668" s="20">
        <v>1.1359808715892856</v>
      </c>
      <c r="H668">
        <v>0.32500000000000001</v>
      </c>
    </row>
    <row r="669" spans="1:8" x14ac:dyDescent="0.25">
      <c r="A669" s="18">
        <v>153888.75</v>
      </c>
      <c r="B669" s="20">
        <v>2.8997180824664104E-4</v>
      </c>
      <c r="C669" s="20">
        <v>0.85456320156173748</v>
      </c>
      <c r="D669" s="20">
        <v>0.10931609578750637</v>
      </c>
      <c r="E669" s="20">
        <v>0.91748063518546885</v>
      </c>
      <c r="F669" s="20">
        <v>5.2332069606554048E-3</v>
      </c>
      <c r="G669" s="20">
        <v>0.62982604709610368</v>
      </c>
      <c r="H669">
        <v>0.65</v>
      </c>
    </row>
    <row r="670" spans="1:8" x14ac:dyDescent="0.25">
      <c r="A670" s="18">
        <v>-470576</v>
      </c>
      <c r="B670" s="20">
        <v>8.6845662712319775E-4</v>
      </c>
      <c r="C670" s="20">
        <v>1.2425857125072406</v>
      </c>
      <c r="D670" s="20">
        <v>-0.17254249158051629</v>
      </c>
      <c r="E670" s="20">
        <v>0.70452298639908639</v>
      </c>
      <c r="F670" s="20">
        <v>5.3031839123237043E-2</v>
      </c>
      <c r="G670" s="20">
        <v>1.0136329148941468</v>
      </c>
      <c r="H670">
        <v>0.375</v>
      </c>
    </row>
    <row r="671" spans="1:8" x14ac:dyDescent="0.25">
      <c r="A671" s="18">
        <v>-20932</v>
      </c>
      <c r="B671" s="20">
        <v>5.5106440983890823E-4</v>
      </c>
      <c r="C671" s="20">
        <v>1.0223684224392393</v>
      </c>
      <c r="D671" s="20">
        <v>-1.1963856943546621E-2</v>
      </c>
      <c r="E671" s="20">
        <v>0.95293139188963971</v>
      </c>
      <c r="F671" s="20">
        <v>3.4982221681147098E-2</v>
      </c>
      <c r="G671" s="20">
        <v>1.8602212258117214</v>
      </c>
      <c r="H671">
        <v>0.35</v>
      </c>
    </row>
    <row r="672" spans="1:8" x14ac:dyDescent="0.25">
      <c r="A672" s="18">
        <v>-40845</v>
      </c>
      <c r="B672" s="20">
        <v>2.017377139852362E-2</v>
      </c>
      <c r="C672" s="20">
        <v>1.010842908570897</v>
      </c>
      <c r="D672" s="20">
        <v>-1.0167215788420352E-2</v>
      </c>
      <c r="E672" s="20">
        <v>0.46974718952004524</v>
      </c>
      <c r="F672" s="20">
        <v>2.9843248889061475E-3</v>
      </c>
      <c r="G672" s="20">
        <v>1.6525559520375581</v>
      </c>
      <c r="H672">
        <v>0.35</v>
      </c>
    </row>
    <row r="673" spans="1:8" x14ac:dyDescent="0.25">
      <c r="A673" s="18">
        <v>790256.25</v>
      </c>
      <c r="B673" s="20">
        <v>7.3504737006799921E-4</v>
      </c>
      <c r="C673" s="20">
        <v>0.86509396937609717</v>
      </c>
      <c r="D673" s="20">
        <v>0.17549417792537209</v>
      </c>
      <c r="E673" s="20">
        <v>0.72886234236427372</v>
      </c>
      <c r="F673" s="20">
        <v>8.4069984814682721E-3</v>
      </c>
      <c r="G673" s="20">
        <v>0.67114998521846392</v>
      </c>
      <c r="H673">
        <v>0.65</v>
      </c>
    </row>
    <row r="674" spans="1:8" x14ac:dyDescent="0.25">
      <c r="A674" s="18">
        <v>-263594</v>
      </c>
      <c r="B674" s="20">
        <v>2.0299241220376935E-3</v>
      </c>
      <c r="C674" s="20">
        <v>1.1005611825687485</v>
      </c>
      <c r="D674" s="20">
        <v>-7.471400551014161E-2</v>
      </c>
      <c r="E674" s="20">
        <v>0.62031941516217182</v>
      </c>
      <c r="F674" s="20">
        <v>6.0118366004920576E-3</v>
      </c>
      <c r="G674" s="20">
        <v>0.75343165763623532</v>
      </c>
      <c r="H674">
        <v>0.47499999999999998</v>
      </c>
    </row>
    <row r="675" spans="1:8" x14ac:dyDescent="0.25">
      <c r="A675" s="18">
        <v>1072562.5</v>
      </c>
      <c r="B675" s="20">
        <v>1.0579979433484514E-3</v>
      </c>
      <c r="C675" s="20">
        <v>0.83657616129447221</v>
      </c>
      <c r="D675" s="20">
        <v>0.11607648415564446</v>
      </c>
      <c r="E675" s="20">
        <v>0.64640266123696422</v>
      </c>
      <c r="F675" s="20">
        <v>2.2837650874402714E-2</v>
      </c>
      <c r="G675" s="20">
        <v>0.86695876896005952</v>
      </c>
      <c r="H675">
        <v>0.625</v>
      </c>
    </row>
    <row r="676" spans="1:8" x14ac:dyDescent="0.25">
      <c r="A676" s="18">
        <v>583433.75</v>
      </c>
      <c r="B676" s="20">
        <v>1.2806747236312952E-3</v>
      </c>
      <c r="C676" s="20">
        <v>0.93578514213723052</v>
      </c>
      <c r="D676" s="20">
        <v>4.037626159868013E-2</v>
      </c>
      <c r="E676" s="20">
        <v>0.99582056275406483</v>
      </c>
      <c r="F676" s="20">
        <v>1.0173689542917884E-2</v>
      </c>
      <c r="G676" s="20">
        <v>1.0171985458243458</v>
      </c>
      <c r="H676">
        <v>0.625</v>
      </c>
    </row>
    <row r="677" spans="1:8" x14ac:dyDescent="0.25">
      <c r="A677" s="18">
        <v>-747666</v>
      </c>
      <c r="B677" s="20">
        <v>7.2534430745016271E-4</v>
      </c>
      <c r="C677" s="20">
        <v>1.1432188605853175</v>
      </c>
      <c r="D677" s="20">
        <v>-0.12006885524067296</v>
      </c>
      <c r="E677" s="20">
        <v>0.556512154656434</v>
      </c>
      <c r="F677" s="20">
        <v>4.9255682171300774E-2</v>
      </c>
      <c r="G677" s="20">
        <v>1.0057256836042574</v>
      </c>
      <c r="H677">
        <v>0.35</v>
      </c>
    </row>
    <row r="678" spans="1:8" x14ac:dyDescent="0.25">
      <c r="A678" s="18">
        <v>-702451</v>
      </c>
      <c r="B678" s="20">
        <v>1.3871243815881762E-3</v>
      </c>
      <c r="C678" s="20">
        <v>1.0911923582590517</v>
      </c>
      <c r="D678" s="20">
        <v>-9.7493580935726076E-2</v>
      </c>
      <c r="E678" s="20">
        <v>0.41532154981671054</v>
      </c>
      <c r="F678" s="20">
        <v>6.7265131642864087E-2</v>
      </c>
      <c r="G678" s="20">
        <v>0.71061569662746094</v>
      </c>
      <c r="H678">
        <v>0.35</v>
      </c>
    </row>
    <row r="679" spans="1:8" x14ac:dyDescent="0.25">
      <c r="A679" s="18">
        <v>-1420879</v>
      </c>
      <c r="B679" s="20">
        <v>7.740019334328645E-4</v>
      </c>
      <c r="C679" s="20">
        <v>1.2420477523190792</v>
      </c>
      <c r="D679" s="20">
        <v>-0.21148013725798084</v>
      </c>
      <c r="E679" s="20">
        <v>0.59820332485600347</v>
      </c>
      <c r="F679" s="20">
        <v>1.8365213094429234E-2</v>
      </c>
      <c r="G679" s="20">
        <v>1.1677305753873646</v>
      </c>
      <c r="H679">
        <v>0.27500000000000002</v>
      </c>
    </row>
    <row r="680" spans="1:8" x14ac:dyDescent="0.25">
      <c r="A680" s="18">
        <v>98718.75</v>
      </c>
      <c r="B680" s="20">
        <v>2.3070397985974712E-4</v>
      </c>
      <c r="C680" s="20">
        <v>0.91876427504580849</v>
      </c>
      <c r="D680" s="20">
        <v>0.12645971095289213</v>
      </c>
      <c r="E680" s="20">
        <v>0.70313704720522852</v>
      </c>
      <c r="F680" s="20">
        <v>5.1103333956758222E-2</v>
      </c>
      <c r="G680" s="20">
        <v>0.76935219627689055</v>
      </c>
      <c r="H680">
        <v>0.6</v>
      </c>
    </row>
    <row r="681" spans="1:8" x14ac:dyDescent="0.25">
      <c r="A681" s="18">
        <v>1796890</v>
      </c>
      <c r="B681" s="20">
        <v>2.1713753793098336E-2</v>
      </c>
      <c r="C681" s="20">
        <v>0.80771157151433726</v>
      </c>
      <c r="D681" s="20">
        <v>8.9925675907641833E-2</v>
      </c>
      <c r="E681" s="20">
        <v>0.88119697760350379</v>
      </c>
      <c r="F681" s="20">
        <v>1.7194021042795332E-3</v>
      </c>
      <c r="G681" s="20">
        <v>0.71201161895535703</v>
      </c>
      <c r="H681">
        <v>0.8</v>
      </c>
    </row>
    <row r="682" spans="1:8" x14ac:dyDescent="0.25">
      <c r="A682" s="18">
        <v>-1089985</v>
      </c>
      <c r="B682" s="20">
        <v>4.7736593006962964E-3</v>
      </c>
      <c r="C682" s="20">
        <v>1.1732855446362767</v>
      </c>
      <c r="D682" s="20">
        <v>-7.7006388438991907E-2</v>
      </c>
      <c r="E682" s="20">
        <v>0.56417419571205329</v>
      </c>
      <c r="F682" s="20">
        <v>5.3777338968771359E-3</v>
      </c>
      <c r="G682" s="20">
        <v>1.4441612968840123</v>
      </c>
      <c r="H682">
        <v>0.375</v>
      </c>
    </row>
    <row r="683" spans="1:8" x14ac:dyDescent="0.25">
      <c r="A683" s="18">
        <v>-845397</v>
      </c>
      <c r="B683" s="20">
        <v>1.5198172226158833E-3</v>
      </c>
      <c r="C683" s="20">
        <v>1.1317496419324096</v>
      </c>
      <c r="D683" s="20">
        <v>-0.10688299065080265</v>
      </c>
      <c r="E683" s="20">
        <v>0.36841708608485546</v>
      </c>
      <c r="F683" s="20">
        <v>4.3198379276915165E-3</v>
      </c>
      <c r="G683" s="20">
        <v>0.67640058779730061</v>
      </c>
      <c r="H683">
        <v>0.4</v>
      </c>
    </row>
    <row r="684" spans="1:8" x14ac:dyDescent="0.25">
      <c r="A684" s="18">
        <v>-407495</v>
      </c>
      <c r="B684" s="20">
        <v>1.6581998607325297E-3</v>
      </c>
      <c r="C684" s="20">
        <v>1.0626453517695704</v>
      </c>
      <c r="D684" s="20">
        <v>-4.3467009628247441E-2</v>
      </c>
      <c r="E684" s="20">
        <v>0.66267472787553083</v>
      </c>
      <c r="F684" s="20">
        <v>3.7087681020982716E-3</v>
      </c>
      <c r="G684" s="20">
        <v>2.6863030938787422</v>
      </c>
      <c r="H684">
        <v>0.32500000000000001</v>
      </c>
    </row>
    <row r="685" spans="1:8" x14ac:dyDescent="0.25">
      <c r="A685" s="18">
        <v>-1526496</v>
      </c>
      <c r="B685" s="20">
        <v>3.4128826743163223E-3</v>
      </c>
      <c r="C685" s="20">
        <v>1.1932753744922628</v>
      </c>
      <c r="D685" s="20">
        <v>-6.6707214038118787E-2</v>
      </c>
      <c r="E685" s="20">
        <v>0.89931487312533698</v>
      </c>
      <c r="F685" s="20">
        <v>3.935495593728972E-3</v>
      </c>
      <c r="G685" s="20">
        <v>1.0866173395512497</v>
      </c>
      <c r="H685">
        <v>0.52500000000000002</v>
      </c>
    </row>
    <row r="686" spans="1:8" x14ac:dyDescent="0.25">
      <c r="A686" s="18">
        <v>-1298174</v>
      </c>
      <c r="B686" s="20">
        <v>1.8933972307548722E-3</v>
      </c>
      <c r="C686" s="20">
        <v>1.2516139106692423</v>
      </c>
      <c r="D686" s="20">
        <v>-7.8004927832579882E-2</v>
      </c>
      <c r="E686" s="20">
        <v>0.95225056114687046</v>
      </c>
      <c r="F686" s="20">
        <v>2.6029002767361656E-2</v>
      </c>
      <c r="G686" s="20">
        <v>0.90737206363309675</v>
      </c>
      <c r="H686">
        <v>0.55000000000000004</v>
      </c>
    </row>
    <row r="687" spans="1:8" x14ac:dyDescent="0.25">
      <c r="A687" s="18">
        <v>1832718.75</v>
      </c>
      <c r="B687" s="20">
        <v>5.5922650819190825E-3</v>
      </c>
      <c r="C687" s="20">
        <v>0.83305655131006795</v>
      </c>
      <c r="D687" s="20">
        <v>0.11452795742130698</v>
      </c>
      <c r="E687" s="20">
        <v>0.87746141509945563</v>
      </c>
      <c r="F687" s="20">
        <v>4.3771953779346437E-2</v>
      </c>
      <c r="G687" s="20">
        <v>0.48207276589081649</v>
      </c>
      <c r="H687">
        <v>0.8</v>
      </c>
    </row>
    <row r="688" spans="1:8" x14ac:dyDescent="0.25">
      <c r="A688" s="18">
        <v>672595</v>
      </c>
      <c r="B688" s="20">
        <v>6.4005290651707215E-3</v>
      </c>
      <c r="C688" s="20">
        <v>0.84420292475325487</v>
      </c>
      <c r="D688" s="20">
        <v>0.12174301968012445</v>
      </c>
      <c r="E688" s="20">
        <v>0.53578311683815372</v>
      </c>
      <c r="F688" s="20">
        <v>3.2580889751518226E-4</v>
      </c>
      <c r="G688" s="20">
        <v>0.57843407954020698</v>
      </c>
      <c r="H688">
        <v>0.77500000000000002</v>
      </c>
    </row>
    <row r="689" spans="1:8" x14ac:dyDescent="0.25">
      <c r="A689" s="18">
        <v>1333727.5</v>
      </c>
      <c r="B689" s="20">
        <v>1.5029468177038909E-3</v>
      </c>
      <c r="C689" s="20">
        <v>0.88459209532283656</v>
      </c>
      <c r="D689" s="20">
        <v>0.12431094225975055</v>
      </c>
      <c r="E689" s="20">
        <v>0.46465568674000013</v>
      </c>
      <c r="F689" s="20">
        <v>0.10020782064398955</v>
      </c>
      <c r="G689" s="20">
        <v>0.85366547473709609</v>
      </c>
      <c r="H689">
        <v>0.5</v>
      </c>
    </row>
    <row r="690" spans="1:8" x14ac:dyDescent="0.25">
      <c r="A690" s="18">
        <v>131945</v>
      </c>
      <c r="B690" s="20">
        <v>1.3960597769777222E-4</v>
      </c>
      <c r="C690" s="20">
        <v>0.93764864641893242</v>
      </c>
      <c r="D690" s="20">
        <v>0.11427232746779555</v>
      </c>
      <c r="E690" s="20">
        <v>0.38922622573054033</v>
      </c>
      <c r="F690" s="20">
        <v>8.9264836046122915E-3</v>
      </c>
      <c r="G690" s="20">
        <v>1.2175009148159333</v>
      </c>
      <c r="H690">
        <v>0.35</v>
      </c>
    </row>
    <row r="691" spans="1:8" x14ac:dyDescent="0.25">
      <c r="A691" s="18">
        <v>-806376</v>
      </c>
      <c r="B691" s="20">
        <v>6.3999745384487458E-3</v>
      </c>
      <c r="C691" s="20">
        <v>1.2374706734368148</v>
      </c>
      <c r="D691" s="20">
        <v>-0.16325072973061613</v>
      </c>
      <c r="E691" s="20">
        <v>0.55973785267097098</v>
      </c>
      <c r="F691" s="20">
        <v>4.4310206672991204E-3</v>
      </c>
      <c r="G691" s="20">
        <v>1.0989294309678102</v>
      </c>
      <c r="H691">
        <v>0.5</v>
      </c>
    </row>
    <row r="692" spans="1:8" x14ac:dyDescent="0.25">
      <c r="A692" s="18">
        <v>-1341395</v>
      </c>
      <c r="B692" s="20">
        <v>6.7583581768478301E-4</v>
      </c>
      <c r="C692" s="20">
        <v>1.2175574551769734</v>
      </c>
      <c r="D692" s="20">
        <v>-0.24848107181804019</v>
      </c>
      <c r="E692" s="20">
        <v>0.31456117281242524</v>
      </c>
      <c r="F692" s="20">
        <v>3.2546807106355444E-4</v>
      </c>
      <c r="G692" s="20">
        <v>1.4308142142184577</v>
      </c>
      <c r="H692">
        <v>0.25</v>
      </c>
    </row>
    <row r="693" spans="1:8" x14ac:dyDescent="0.25">
      <c r="A693" s="18">
        <v>-1811217</v>
      </c>
      <c r="B693" s="20">
        <v>2.2299230937202446E-3</v>
      </c>
      <c r="C693" s="20">
        <v>1.3033334841090745</v>
      </c>
      <c r="D693" s="20">
        <v>-0.1130177265567013</v>
      </c>
      <c r="E693" s="20">
        <v>0.61442902395110566</v>
      </c>
      <c r="F693" s="20">
        <v>1.0309526015766299E-2</v>
      </c>
      <c r="G693" s="20">
        <v>0.84165608703674766</v>
      </c>
      <c r="H693">
        <v>0.47499999999999998</v>
      </c>
    </row>
    <row r="694" spans="1:8" x14ac:dyDescent="0.25">
      <c r="A694" s="18">
        <v>-1333969</v>
      </c>
      <c r="B694" s="20">
        <v>1.9358986300308657E-3</v>
      </c>
      <c r="C694" s="20">
        <v>1.167760763909089</v>
      </c>
      <c r="D694" s="20">
        <v>-0.1058749502062665</v>
      </c>
      <c r="E694" s="20">
        <v>0.9029549064234722</v>
      </c>
      <c r="F694" s="20">
        <v>3.029514637790124E-2</v>
      </c>
      <c r="G694" s="20">
        <v>0.78815457959076929</v>
      </c>
      <c r="H694">
        <v>0.55000000000000004</v>
      </c>
    </row>
    <row r="695" spans="1:8" x14ac:dyDescent="0.25">
      <c r="A695" s="18">
        <v>152377.5</v>
      </c>
      <c r="B695" s="20">
        <v>1.3423996430164993E-2</v>
      </c>
      <c r="C695" s="20">
        <v>0.98717779950420714</v>
      </c>
      <c r="D695" s="20">
        <v>7.5512415499338625E-3</v>
      </c>
      <c r="E695" s="20">
        <v>0.92917289096538958</v>
      </c>
      <c r="F695" s="20">
        <v>2.2167603641226986E-2</v>
      </c>
      <c r="G695" s="20">
        <v>-1.188911319199196</v>
      </c>
      <c r="H695">
        <v>0.8</v>
      </c>
    </row>
    <row r="696" spans="1:8" x14ac:dyDescent="0.25">
      <c r="A696" s="18">
        <v>-204717</v>
      </c>
      <c r="B696" s="20">
        <v>1.2913762665737794E-3</v>
      </c>
      <c r="C696" s="20">
        <v>1.1517303600205371</v>
      </c>
      <c r="D696" s="20">
        <v>-5.9750958139567462E-2</v>
      </c>
      <c r="E696" s="20">
        <v>0.93689765081767995</v>
      </c>
      <c r="F696" s="20">
        <v>8.0001844624801271E-4</v>
      </c>
      <c r="G696" s="20">
        <v>0.50849651701881238</v>
      </c>
      <c r="H696">
        <v>0.55000000000000004</v>
      </c>
    </row>
    <row r="697" spans="1:8" x14ac:dyDescent="0.25">
      <c r="A697" s="18">
        <v>1091252.5</v>
      </c>
      <c r="B697" s="20">
        <v>3.8718722797155282E-3</v>
      </c>
      <c r="C697" s="20">
        <v>0.85554736037873946</v>
      </c>
      <c r="D697" s="20">
        <v>7.2691078511980228E-2</v>
      </c>
      <c r="E697" s="20">
        <v>0.9547640248879079</v>
      </c>
      <c r="F697" s="20">
        <v>3.3949070598812579E-3</v>
      </c>
      <c r="G697" s="20">
        <v>0.7310443028852599</v>
      </c>
      <c r="H697">
        <v>0.75</v>
      </c>
    </row>
    <row r="698" spans="1:8" x14ac:dyDescent="0.25">
      <c r="A698" s="18">
        <v>2562448.75</v>
      </c>
      <c r="B698" s="20">
        <v>1.7632373111269172E-3</v>
      </c>
      <c r="C698" s="20">
        <v>0.79488473202705512</v>
      </c>
      <c r="D698" s="20">
        <v>0.13976288268660778</v>
      </c>
      <c r="E698" s="20">
        <v>0.93346571585589411</v>
      </c>
      <c r="F698" s="20">
        <v>2.8654118426826983E-2</v>
      </c>
      <c r="G698" s="20">
        <v>0.85015280499190471</v>
      </c>
      <c r="H698">
        <v>0.7</v>
      </c>
    </row>
    <row r="699" spans="1:8" x14ac:dyDescent="0.25">
      <c r="A699" s="18">
        <v>1517781.25</v>
      </c>
      <c r="B699" s="20">
        <v>1.377636860640095E-3</v>
      </c>
      <c r="C699" s="20">
        <v>0.81666462025835485</v>
      </c>
      <c r="D699" s="20">
        <v>0.18324395180641434</v>
      </c>
      <c r="E699" s="20">
        <v>0.4180780366368998</v>
      </c>
      <c r="F699" s="20">
        <v>8.2985978851469518E-3</v>
      </c>
      <c r="G699" s="20">
        <v>0.90354836338200151</v>
      </c>
      <c r="H699">
        <v>0.55000000000000004</v>
      </c>
    </row>
    <row r="700" spans="1:8" x14ac:dyDescent="0.25">
      <c r="A700" s="18">
        <v>-1893638</v>
      </c>
      <c r="B700" s="20">
        <v>5.8033935977447619E-4</v>
      </c>
      <c r="C700" s="20">
        <v>1.2624408045925155</v>
      </c>
      <c r="D700" s="20">
        <v>-0.29109922339741456</v>
      </c>
      <c r="E700" s="20">
        <v>0.98930762918230819</v>
      </c>
      <c r="F700" s="20">
        <v>1.3064306641728396E-2</v>
      </c>
      <c r="G700" s="20">
        <v>1.5398973510660354</v>
      </c>
      <c r="H700">
        <v>0.35</v>
      </c>
    </row>
    <row r="701" spans="1:8" x14ac:dyDescent="0.25">
      <c r="A701" s="18">
        <v>-775119</v>
      </c>
      <c r="B701" s="20">
        <v>2.1380688605327214E-3</v>
      </c>
      <c r="C701" s="20">
        <v>1.1400233676413563</v>
      </c>
      <c r="D701" s="20">
        <v>-5.1907884414133999E-2</v>
      </c>
      <c r="E701" s="20">
        <v>0.99141061322696378</v>
      </c>
      <c r="F701" s="20">
        <v>4.5825950988934473E-3</v>
      </c>
      <c r="G701" s="20">
        <v>0.78939401244992125</v>
      </c>
      <c r="H701">
        <v>0.55000000000000004</v>
      </c>
    </row>
    <row r="702" spans="1:8" x14ac:dyDescent="0.25">
      <c r="A702" s="18">
        <v>-1961729</v>
      </c>
      <c r="B702" s="20">
        <v>4.2944863973052323E-3</v>
      </c>
      <c r="C702" s="20">
        <v>1.2079072740626591</v>
      </c>
      <c r="D702" s="20">
        <v>-0.10891182225711238</v>
      </c>
      <c r="E702" s="20">
        <v>0.96192396916624201</v>
      </c>
      <c r="F702" s="20">
        <v>3.9286068214756928E-2</v>
      </c>
      <c r="G702" s="20">
        <v>0.99109950834413563</v>
      </c>
      <c r="H702">
        <v>0.6</v>
      </c>
    </row>
    <row r="703" spans="1:8" x14ac:dyDescent="0.25">
      <c r="A703" s="18">
        <v>122782.5</v>
      </c>
      <c r="B703" s="20">
        <v>1.2012095306647246E-3</v>
      </c>
      <c r="C703" s="20">
        <v>0.96398480851948731</v>
      </c>
      <c r="D703" s="20">
        <v>2.4257923771056331E-2</v>
      </c>
      <c r="E703" s="20">
        <v>0.82888725490998827</v>
      </c>
      <c r="F703" s="20">
        <v>4.145179472974837E-3</v>
      </c>
      <c r="G703" s="20">
        <v>0.55940091798929026</v>
      </c>
      <c r="H703">
        <v>0.7</v>
      </c>
    </row>
    <row r="704" spans="1:8" x14ac:dyDescent="0.25">
      <c r="A704" s="18">
        <v>911678.75</v>
      </c>
      <c r="B704" s="20">
        <v>3.7151249281636737E-3</v>
      </c>
      <c r="C704" s="20">
        <v>0.88019385863073152</v>
      </c>
      <c r="D704" s="20">
        <v>0.15096333477615939</v>
      </c>
      <c r="E704" s="20">
        <v>0.58413490091204789</v>
      </c>
      <c r="F704" s="20">
        <v>6.3763086857355947E-2</v>
      </c>
      <c r="G704" s="20">
        <v>0.4724230527719</v>
      </c>
      <c r="H704">
        <v>0.625</v>
      </c>
    </row>
    <row r="705" spans="1:8" x14ac:dyDescent="0.25">
      <c r="A705" s="18">
        <v>-1134361</v>
      </c>
      <c r="B705" s="20">
        <v>5.0592021983466148E-3</v>
      </c>
      <c r="C705" s="20">
        <v>1.2101987337734217</v>
      </c>
      <c r="D705" s="20">
        <v>-0.18672458444368104</v>
      </c>
      <c r="E705" s="20">
        <v>0.53449760489815812</v>
      </c>
      <c r="F705" s="20">
        <v>1.1702457050140665E-2</v>
      </c>
      <c r="G705" s="20">
        <v>0.52186344707815668</v>
      </c>
      <c r="H705">
        <v>0.57499999999999996</v>
      </c>
    </row>
    <row r="706" spans="1:8" x14ac:dyDescent="0.25">
      <c r="A706" s="18">
        <v>-1273204</v>
      </c>
      <c r="B706" s="20">
        <v>9.9201895019746618E-4</v>
      </c>
      <c r="C706" s="20">
        <v>1.1812176868530697</v>
      </c>
      <c r="D706" s="20">
        <v>-0.12820110311809035</v>
      </c>
      <c r="E706" s="20">
        <v>0.73130008021154702</v>
      </c>
      <c r="F706" s="20">
        <v>2.3962918058184308E-2</v>
      </c>
      <c r="G706" s="20">
        <v>1.5931022569375424</v>
      </c>
      <c r="H706">
        <v>0.35</v>
      </c>
    </row>
    <row r="707" spans="1:8" x14ac:dyDescent="0.25">
      <c r="A707" s="18">
        <v>1539300</v>
      </c>
      <c r="B707" s="20">
        <v>1.9278584442032878E-3</v>
      </c>
      <c r="C707" s="20">
        <v>0.86005671660990812</v>
      </c>
      <c r="D707" s="20">
        <v>0.10492124465374013</v>
      </c>
      <c r="E707" s="20">
        <v>0.6408586201445341</v>
      </c>
      <c r="F707" s="20">
        <v>2.0128683762883577E-2</v>
      </c>
      <c r="G707" s="20">
        <v>1.0290848004800512</v>
      </c>
      <c r="H707">
        <v>0.55000000000000004</v>
      </c>
    </row>
    <row r="708" spans="1:8" x14ac:dyDescent="0.25">
      <c r="A708" s="18">
        <v>-1824468</v>
      </c>
      <c r="B708" s="20">
        <v>1.1320738124002839E-3</v>
      </c>
      <c r="C708" s="20">
        <v>1.1779949099240863</v>
      </c>
      <c r="D708" s="20">
        <v>-0.13255455229523194</v>
      </c>
      <c r="E708" s="20">
        <v>0.49478640850549727</v>
      </c>
      <c r="F708" s="20">
        <v>1.1641029437652968E-2</v>
      </c>
      <c r="G708" s="20">
        <v>1.674538324555906</v>
      </c>
      <c r="H708">
        <v>0.25</v>
      </c>
    </row>
    <row r="709" spans="1:8" x14ac:dyDescent="0.25">
      <c r="A709" s="18">
        <v>-311657</v>
      </c>
      <c r="B709" s="20">
        <v>4.3255116249873377E-3</v>
      </c>
      <c r="C709" s="20">
        <v>1.0395043633080896</v>
      </c>
      <c r="D709" s="20">
        <v>-1.8514270995195904E-2</v>
      </c>
      <c r="E709" s="20">
        <v>0.73833232101427004</v>
      </c>
      <c r="F709" s="20">
        <v>2.0228369428073659E-2</v>
      </c>
      <c r="G709" s="20">
        <v>1.3437967958248536</v>
      </c>
      <c r="H709">
        <v>0.45</v>
      </c>
    </row>
    <row r="710" spans="1:8" x14ac:dyDescent="0.25">
      <c r="A710" s="18">
        <v>-190230</v>
      </c>
      <c r="B710" s="20">
        <v>1.9458809780500592E-3</v>
      </c>
      <c r="C710" s="20">
        <v>1.0562356125478594</v>
      </c>
      <c r="D710" s="20">
        <v>-4.7514867285328242E-2</v>
      </c>
      <c r="E710" s="20">
        <v>0.35817600987107023</v>
      </c>
      <c r="F710" s="20">
        <v>1.600813669934651E-2</v>
      </c>
      <c r="G710" s="20">
        <v>0.63074768157391781</v>
      </c>
      <c r="H710">
        <v>0.4</v>
      </c>
    </row>
    <row r="711" spans="1:8" x14ac:dyDescent="0.25">
      <c r="A711" s="18">
        <v>-1259993</v>
      </c>
      <c r="B711" s="20">
        <v>3.9194328705920347E-3</v>
      </c>
      <c r="C711" s="20">
        <v>1.2094136362971153</v>
      </c>
      <c r="D711" s="20">
        <v>-0.11078756858096339</v>
      </c>
      <c r="E711" s="20">
        <v>0.94582501696539056</v>
      </c>
      <c r="F711" s="20">
        <v>2.5646673268235602E-2</v>
      </c>
      <c r="G711" s="20">
        <v>0.91977231305998575</v>
      </c>
      <c r="H711">
        <v>0.6</v>
      </c>
    </row>
    <row r="712" spans="1:8" x14ac:dyDescent="0.25">
      <c r="A712" s="18">
        <v>40355.800000000003</v>
      </c>
      <c r="B712" s="20">
        <v>3.4560757869649776E-5</v>
      </c>
      <c r="C712" s="20">
        <v>0.91248143352010436</v>
      </c>
      <c r="D712" s="20">
        <v>0.11469636122313834</v>
      </c>
      <c r="E712" s="20">
        <v>0.67562315540048812</v>
      </c>
      <c r="F712" s="20">
        <v>7.5799561743816243E-3</v>
      </c>
      <c r="G712" s="20">
        <v>0.72619918746768997</v>
      </c>
      <c r="H712">
        <v>0.57499999999999996</v>
      </c>
    </row>
    <row r="713" spans="1:8" x14ac:dyDescent="0.25">
      <c r="A713" s="18">
        <v>-1447910</v>
      </c>
      <c r="B713" s="20">
        <v>2.1657665041077811E-3</v>
      </c>
      <c r="C713" s="20">
        <v>1.2049501995631522</v>
      </c>
      <c r="D713" s="20">
        <v>-0.11722210703480798</v>
      </c>
      <c r="E713" s="20">
        <v>0.82805914124431201</v>
      </c>
      <c r="F713" s="20">
        <v>1.4163545204682278E-2</v>
      </c>
      <c r="G713" s="20">
        <v>1.4997716250127098</v>
      </c>
      <c r="H713">
        <v>0.4</v>
      </c>
    </row>
    <row r="714" spans="1:8" x14ac:dyDescent="0.25">
      <c r="A714" s="18">
        <v>62935</v>
      </c>
      <c r="B714" s="20">
        <v>1.2740220699064529E-3</v>
      </c>
      <c r="C714" s="20">
        <v>0.96740773962910942</v>
      </c>
      <c r="D714" s="20">
        <v>1.9333206360128776E-2</v>
      </c>
      <c r="E714" s="20">
        <v>0.96007974907355109</v>
      </c>
      <c r="F714" s="20">
        <v>1.9601693249121428E-2</v>
      </c>
      <c r="G714" s="20">
        <v>-0.62700786381164941</v>
      </c>
      <c r="H714">
        <v>0.7</v>
      </c>
    </row>
    <row r="715" spans="1:8" x14ac:dyDescent="0.25">
      <c r="A715" s="18">
        <v>156327.5</v>
      </c>
      <c r="B715" s="20">
        <v>6.4811333747312862E-4</v>
      </c>
      <c r="C715" s="20">
        <v>0.93285435515345039</v>
      </c>
      <c r="D715" s="20">
        <v>4.6526803266124891E-2</v>
      </c>
      <c r="E715" s="20">
        <v>0.86916903493237185</v>
      </c>
      <c r="F715" s="20">
        <v>3.2232670475260757E-3</v>
      </c>
      <c r="G715" s="20">
        <v>0.24162973399908994</v>
      </c>
      <c r="H715">
        <v>0.65</v>
      </c>
    </row>
    <row r="716" spans="1:8" x14ac:dyDescent="0.25">
      <c r="A716" s="18">
        <v>-943191</v>
      </c>
      <c r="B716" s="20">
        <v>6.2548839556251829E-4</v>
      </c>
      <c r="C716" s="20">
        <v>1.236208999949439</v>
      </c>
      <c r="D716" s="20">
        <v>-0.26528750723556643</v>
      </c>
      <c r="E716" s="20">
        <v>0.54197750415169832</v>
      </c>
      <c r="F716" s="20">
        <v>1.3416385541355376E-3</v>
      </c>
      <c r="G716" s="20">
        <v>0.9330754382596228</v>
      </c>
      <c r="H716">
        <v>0.42499999999999999</v>
      </c>
    </row>
    <row r="717" spans="1:8" x14ac:dyDescent="0.25">
      <c r="A717" s="18">
        <v>429022.5</v>
      </c>
      <c r="B717" s="20">
        <v>3.9076805229899265E-2</v>
      </c>
      <c r="C717" s="20">
        <v>0.84041098730023711</v>
      </c>
      <c r="D717" s="20">
        <v>0.14898564846856691</v>
      </c>
      <c r="E717" s="20">
        <v>0.71043616869837711</v>
      </c>
      <c r="F717" s="20">
        <v>5.5594082975445047E-3</v>
      </c>
      <c r="G717" s="20">
        <v>0.72063160693266604</v>
      </c>
      <c r="H717">
        <v>0.8</v>
      </c>
    </row>
    <row r="718" spans="1:8" x14ac:dyDescent="0.25">
      <c r="A718" s="18">
        <v>1676473.75</v>
      </c>
      <c r="B718" s="20">
        <v>1.1907262776160726E-2</v>
      </c>
      <c r="C718" s="20">
        <v>0.83264315901184527</v>
      </c>
      <c r="D718" s="20">
        <v>0.11175462779060141</v>
      </c>
      <c r="E718" s="20">
        <v>0.66433566836157043</v>
      </c>
      <c r="F718" s="20">
        <v>2.9984106129962301E-2</v>
      </c>
      <c r="G718" s="20">
        <v>1.2136896109600346</v>
      </c>
      <c r="H718">
        <v>0.57499999999999996</v>
      </c>
    </row>
    <row r="719" spans="1:8" x14ac:dyDescent="0.25">
      <c r="A719" s="18">
        <v>69978.75</v>
      </c>
      <c r="B719" s="20">
        <v>4.7380791265508997E-5</v>
      </c>
      <c r="C719" s="20">
        <v>0.88352984471061791</v>
      </c>
      <c r="D719" s="20">
        <v>0.195812125570476</v>
      </c>
      <c r="E719" s="20">
        <v>0.29537583911477422</v>
      </c>
      <c r="F719" s="20">
        <v>3.1941059441430199E-2</v>
      </c>
      <c r="G719" s="20">
        <v>1.0329304752964441</v>
      </c>
      <c r="H719">
        <v>0.42499999999999999</v>
      </c>
    </row>
    <row r="720" spans="1:8" x14ac:dyDescent="0.25">
      <c r="A720" s="18">
        <v>860793.75</v>
      </c>
      <c r="B720" s="20">
        <v>4.0750519652388599E-3</v>
      </c>
      <c r="C720" s="20">
        <v>0.82207783713296434</v>
      </c>
      <c r="D720" s="20">
        <v>0.14232420856798617</v>
      </c>
      <c r="E720" s="20">
        <v>0.98374862334018054</v>
      </c>
      <c r="F720" s="20">
        <v>7.9016302423943704E-4</v>
      </c>
      <c r="G720" s="20">
        <v>0.80278694451365529</v>
      </c>
      <c r="H720">
        <v>0.75</v>
      </c>
    </row>
    <row r="721" spans="1:8" x14ac:dyDescent="0.25">
      <c r="A721" s="18">
        <v>-807277</v>
      </c>
      <c r="B721" s="20">
        <v>5.3874581109950893E-4</v>
      </c>
      <c r="C721" s="20">
        <v>1.1759934936427467</v>
      </c>
      <c r="D721" s="20">
        <v>-0.18807952358353305</v>
      </c>
      <c r="E721" s="20">
        <v>0.61226527299954436</v>
      </c>
      <c r="F721" s="20">
        <v>1.8469269101635499E-2</v>
      </c>
      <c r="G721" s="20">
        <v>0.97565920915005722</v>
      </c>
      <c r="H721">
        <v>0.42499999999999999</v>
      </c>
    </row>
    <row r="722" spans="1:8" x14ac:dyDescent="0.25">
      <c r="A722" s="18">
        <v>-90751</v>
      </c>
      <c r="B722" s="20">
        <v>1.1304854747361049E-3</v>
      </c>
      <c r="C722" s="20">
        <v>1.054885234895669</v>
      </c>
      <c r="D722" s="20">
        <v>-2.4737667761109E-2</v>
      </c>
      <c r="E722" s="20">
        <v>0.93576482771990332</v>
      </c>
      <c r="F722" s="20">
        <v>1.3203635783766545E-2</v>
      </c>
      <c r="G722" s="20">
        <v>1.3402823233527275</v>
      </c>
      <c r="H722">
        <v>0.4</v>
      </c>
    </row>
    <row r="723" spans="1:8" x14ac:dyDescent="0.25">
      <c r="A723" s="18">
        <v>-1004640</v>
      </c>
      <c r="B723" s="20">
        <v>1.3109036007224375E-3</v>
      </c>
      <c r="C723" s="20">
        <v>1.2002035636795052</v>
      </c>
      <c r="D723" s="20">
        <v>-0.19150214930968759</v>
      </c>
      <c r="E723" s="20">
        <v>0.7233464942306459</v>
      </c>
      <c r="F723" s="20">
        <v>1.8250880701351078E-2</v>
      </c>
      <c r="G723" s="20">
        <v>0.72336410913331506</v>
      </c>
      <c r="H723">
        <v>0.55000000000000004</v>
      </c>
    </row>
    <row r="724" spans="1:8" x14ac:dyDescent="0.25">
      <c r="A724" s="18">
        <v>-203427</v>
      </c>
      <c r="B724" s="20">
        <v>1.4400386462798209E-3</v>
      </c>
      <c r="C724" s="20">
        <v>1.1563108388596095</v>
      </c>
      <c r="D724" s="20">
        <v>-9.2918910919309219E-2</v>
      </c>
      <c r="E724" s="20">
        <v>0.40831781444287263</v>
      </c>
      <c r="F724" s="20">
        <v>1.3867471552499069E-3</v>
      </c>
      <c r="G724" s="20">
        <v>0.49368742604286087</v>
      </c>
      <c r="H724">
        <v>0.4</v>
      </c>
    </row>
    <row r="725" spans="1:8" x14ac:dyDescent="0.25">
      <c r="A725" s="18">
        <v>1825182.5</v>
      </c>
      <c r="B725" s="20">
        <v>2.2216055412049079E-3</v>
      </c>
      <c r="C725" s="20">
        <v>0.75873145757061211</v>
      </c>
      <c r="D725" s="20">
        <v>0.10354488624788527</v>
      </c>
      <c r="E725" s="20">
        <v>0.8933093711596739</v>
      </c>
      <c r="F725" s="20">
        <v>2.9924600196437629E-3</v>
      </c>
      <c r="G725" s="20">
        <v>0.73560765197955269</v>
      </c>
      <c r="H725">
        <v>0.7</v>
      </c>
    </row>
    <row r="726" spans="1:8" x14ac:dyDescent="0.25">
      <c r="A726" s="18">
        <v>-122782</v>
      </c>
      <c r="B726" s="20">
        <v>3.4020830941204083E-3</v>
      </c>
      <c r="C726" s="20">
        <v>1.0329434608541046</v>
      </c>
      <c r="D726" s="20">
        <v>-2.1765072927228766E-2</v>
      </c>
      <c r="E726" s="20">
        <v>0.82039960966869829</v>
      </c>
      <c r="F726" s="20">
        <v>2.1181513284313377E-3</v>
      </c>
      <c r="G726" s="20">
        <v>1.3417830914244917</v>
      </c>
      <c r="H726">
        <v>0.45</v>
      </c>
    </row>
    <row r="727" spans="1:8" x14ac:dyDescent="0.25">
      <c r="A727" s="18">
        <v>814325</v>
      </c>
      <c r="B727" s="20">
        <v>9.4297651348669784E-3</v>
      </c>
      <c r="C727" s="20">
        <v>0.84678886017979749</v>
      </c>
      <c r="D727" s="20">
        <v>8.7532979722274321E-2</v>
      </c>
      <c r="E727" s="20">
        <v>0.60638822237129963</v>
      </c>
      <c r="F727" s="20">
        <v>8.0726083285454853E-5</v>
      </c>
      <c r="G727" s="20">
        <v>0.95014916822650552</v>
      </c>
      <c r="H727">
        <v>0.77500000000000002</v>
      </c>
    </row>
    <row r="728" spans="1:8" x14ac:dyDescent="0.25">
      <c r="A728" s="18">
        <v>-532361</v>
      </c>
      <c r="B728" s="20">
        <v>1.0001022097240085E-3</v>
      </c>
      <c r="C728" s="20">
        <v>1.1160373895670008</v>
      </c>
      <c r="D728" s="20">
        <v>-6.2935268155329571E-2</v>
      </c>
      <c r="E728" s="20">
        <v>0.71328553510923076</v>
      </c>
      <c r="F728" s="20">
        <v>2.4621148981435574E-2</v>
      </c>
      <c r="G728" s="20">
        <v>1.6929924465154083</v>
      </c>
      <c r="H728">
        <v>0.4</v>
      </c>
    </row>
    <row r="729" spans="1:8" x14ac:dyDescent="0.25">
      <c r="A729" s="18">
        <v>117306.25</v>
      </c>
      <c r="B729" s="20">
        <v>6.8896519370171638E-4</v>
      </c>
      <c r="C729" s="20">
        <v>0.96127892440481444</v>
      </c>
      <c r="D729" s="20">
        <v>3.2377636718534365E-2</v>
      </c>
      <c r="E729" s="20">
        <v>0.98255993699577915</v>
      </c>
      <c r="F729" s="20">
        <v>1.94015341710773E-2</v>
      </c>
      <c r="G729" s="20">
        <v>0.89069136982252928</v>
      </c>
      <c r="H729">
        <v>0.65</v>
      </c>
    </row>
    <row r="730" spans="1:8" x14ac:dyDescent="0.25">
      <c r="A730" s="18">
        <v>1825193.75</v>
      </c>
      <c r="B730" s="20">
        <v>2.7806351648557315E-3</v>
      </c>
      <c r="C730" s="20">
        <v>0.80323036442839291</v>
      </c>
      <c r="D730" s="20">
        <v>0.21345512784078616</v>
      </c>
      <c r="E730" s="20">
        <v>0.51870792939925114</v>
      </c>
      <c r="F730" s="20">
        <v>8.8748144307013426E-3</v>
      </c>
      <c r="G730" s="20">
        <v>1.1516633875043922</v>
      </c>
      <c r="H730">
        <v>0.47499999999999998</v>
      </c>
    </row>
    <row r="731" spans="1:8" x14ac:dyDescent="0.25">
      <c r="A731" s="18">
        <v>260971.25</v>
      </c>
      <c r="B731" s="20">
        <v>4.3936668593197253E-2</v>
      </c>
      <c r="C731" s="20">
        <v>0.97928827025280363</v>
      </c>
      <c r="D731" s="20">
        <v>3.8123137275066971E-2</v>
      </c>
      <c r="E731" s="20">
        <v>0.40978435068030789</v>
      </c>
      <c r="F731" s="20">
        <v>0.11738910422962182</v>
      </c>
      <c r="G731" s="20">
        <v>-0.80828664488826274</v>
      </c>
      <c r="H731">
        <v>0.6</v>
      </c>
    </row>
    <row r="732" spans="1:8" x14ac:dyDescent="0.25">
      <c r="A732" s="18">
        <v>-716386</v>
      </c>
      <c r="B732" s="20">
        <v>7.3872087435793339E-4</v>
      </c>
      <c r="C732" s="20">
        <v>1.2521223532462535</v>
      </c>
      <c r="D732" s="20">
        <v>-0.10475900935581747</v>
      </c>
      <c r="E732" s="20">
        <v>0.97201816729656354</v>
      </c>
      <c r="F732" s="20">
        <v>5.6603726680099593E-3</v>
      </c>
      <c r="G732" s="20">
        <v>1.3269327297010367</v>
      </c>
      <c r="H732">
        <v>0.35</v>
      </c>
    </row>
    <row r="733" spans="1:8" x14ac:dyDescent="0.25">
      <c r="A733" s="18">
        <v>-1670</v>
      </c>
      <c r="B733" s="20">
        <v>8.5504385763497323E-2</v>
      </c>
      <c r="C733" s="20">
        <v>1.0009491490524349</v>
      </c>
      <c r="D733" s="20">
        <v>-7.537158870220505E-4</v>
      </c>
      <c r="E733" s="20">
        <v>0.64245979495812844</v>
      </c>
      <c r="F733" s="20">
        <v>4.0131986032335767E-3</v>
      </c>
      <c r="G733" s="20">
        <v>4.9806128169477892</v>
      </c>
      <c r="H733">
        <v>0.42499999999999999</v>
      </c>
    </row>
    <row r="734" spans="1:8" x14ac:dyDescent="0.25">
      <c r="A734" s="18">
        <v>-1213712</v>
      </c>
      <c r="B734" s="20">
        <v>1.3470221458513059E-3</v>
      </c>
      <c r="C734" s="20">
        <v>1.2405074144125385</v>
      </c>
      <c r="D734" s="20">
        <v>-0.12548038133583334</v>
      </c>
      <c r="E734" s="20">
        <v>0.54327215898993697</v>
      </c>
      <c r="F734" s="20">
        <v>1.1802813826049953E-2</v>
      </c>
      <c r="G734" s="20">
        <v>1.3458503013564649</v>
      </c>
      <c r="H734">
        <v>0.32500000000000001</v>
      </c>
    </row>
    <row r="735" spans="1:8" x14ac:dyDescent="0.25">
      <c r="A735" s="18">
        <v>-1821462</v>
      </c>
      <c r="B735" s="20">
        <v>1.5554519409880043E-3</v>
      </c>
      <c r="C735" s="20">
        <v>1.2440438884459681</v>
      </c>
      <c r="D735" s="20">
        <v>-0.21865558164378407</v>
      </c>
      <c r="E735" s="20">
        <v>0.54196799750377767</v>
      </c>
      <c r="F735" s="20">
        <v>2.6571979161802383E-2</v>
      </c>
      <c r="G735" s="20">
        <v>1.0504723619565901</v>
      </c>
      <c r="H735">
        <v>0.4</v>
      </c>
    </row>
    <row r="736" spans="1:8" x14ac:dyDescent="0.25">
      <c r="A736" s="18">
        <v>193578.75</v>
      </c>
      <c r="B736" s="20">
        <v>6.3367331647267691E-4</v>
      </c>
      <c r="C736" s="20">
        <v>0.96649514724138286</v>
      </c>
      <c r="D736" s="20">
        <v>2.7254175478432979E-2</v>
      </c>
      <c r="E736" s="20">
        <v>0.61114839696910717</v>
      </c>
      <c r="F736" s="20">
        <v>1.7148925643827386E-2</v>
      </c>
      <c r="G736" s="20">
        <v>-0.20850272204033368</v>
      </c>
      <c r="H736">
        <v>0.57499999999999996</v>
      </c>
    </row>
    <row r="737" spans="1:8" x14ac:dyDescent="0.25">
      <c r="A737" s="18">
        <v>1071966.25</v>
      </c>
      <c r="B737" s="20">
        <v>2.8775345624045181E-3</v>
      </c>
      <c r="C737" s="20">
        <v>0.8374033296289306</v>
      </c>
      <c r="D737" s="20">
        <v>0.1571372229343134</v>
      </c>
      <c r="E737" s="20">
        <v>0.56023313838888078</v>
      </c>
      <c r="F737" s="20">
        <v>1.8601997581886903E-3</v>
      </c>
      <c r="G737" s="20">
        <v>0.81869986459602473</v>
      </c>
      <c r="H737">
        <v>0.625</v>
      </c>
    </row>
    <row r="738" spans="1:8" x14ac:dyDescent="0.25">
      <c r="A738" s="18">
        <v>154917.5</v>
      </c>
      <c r="B738" s="20">
        <v>4.3475281139681429E-3</v>
      </c>
      <c r="C738" s="20">
        <v>0.98420345583587365</v>
      </c>
      <c r="D738" s="20">
        <v>1.1672162159779651E-2</v>
      </c>
      <c r="E738" s="20">
        <v>0.72629467706585815</v>
      </c>
      <c r="F738" s="20">
        <v>1.8402863508165182E-3</v>
      </c>
      <c r="G738" s="20">
        <v>-1.0582430214438427</v>
      </c>
      <c r="H738">
        <v>0.75</v>
      </c>
    </row>
    <row r="739" spans="1:8" x14ac:dyDescent="0.25">
      <c r="A739" s="18">
        <v>389251.25</v>
      </c>
      <c r="B739" s="20">
        <v>2.0718715940083684E-3</v>
      </c>
      <c r="C739" s="20">
        <v>0.91510036278178275</v>
      </c>
      <c r="D739" s="20">
        <v>6.6351778699246799E-2</v>
      </c>
      <c r="E739" s="20">
        <v>0.57887752695567396</v>
      </c>
      <c r="F739" s="20">
        <v>1.2085615935148823E-4</v>
      </c>
      <c r="G739" s="20">
        <v>0.37071042526097442</v>
      </c>
      <c r="H739">
        <v>0.67500000000000004</v>
      </c>
    </row>
    <row r="740" spans="1:8" x14ac:dyDescent="0.25">
      <c r="A740" s="18">
        <v>-37127</v>
      </c>
      <c r="B740" s="20">
        <v>2.3755979999481544E-4</v>
      </c>
      <c r="C740" s="20">
        <v>1.0204837883540356</v>
      </c>
      <c r="D740" s="20">
        <v>-2.1973878978241556E-2</v>
      </c>
      <c r="E740" s="20">
        <v>0.46665300437405111</v>
      </c>
      <c r="F740" s="20">
        <v>4.8033347597089722E-2</v>
      </c>
      <c r="G740" s="20">
        <v>3.1309243320064559</v>
      </c>
      <c r="H740">
        <v>0.2</v>
      </c>
    </row>
    <row r="741" spans="1:8" x14ac:dyDescent="0.25">
      <c r="A741" s="18">
        <v>-1786179</v>
      </c>
      <c r="B741" s="20">
        <v>4.8095499521054108E-3</v>
      </c>
      <c r="C741" s="20">
        <v>1.1886928239482168</v>
      </c>
      <c r="D741" s="20">
        <v>-0.11129007536561294</v>
      </c>
      <c r="E741" s="20">
        <v>0.68661880997469693</v>
      </c>
      <c r="F741" s="20">
        <v>3.4790115241598626E-2</v>
      </c>
      <c r="G741" s="20">
        <v>0.65166688202040368</v>
      </c>
      <c r="H741">
        <v>0.52500000000000002</v>
      </c>
    </row>
    <row r="742" spans="1:8" x14ac:dyDescent="0.25">
      <c r="A742" s="18">
        <v>-1580298</v>
      </c>
      <c r="B742" s="20">
        <v>1.2673111417903858E-3</v>
      </c>
      <c r="C742" s="20">
        <v>1.2049075965986045</v>
      </c>
      <c r="D742" s="20">
        <v>-0.23690840659368664</v>
      </c>
      <c r="E742" s="20">
        <v>0.6619598610604176</v>
      </c>
      <c r="F742" s="20">
        <v>3.4843854330603601E-2</v>
      </c>
      <c r="G742" s="20">
        <v>1.1107959974030392</v>
      </c>
      <c r="H742">
        <v>0.32500000000000001</v>
      </c>
    </row>
    <row r="743" spans="1:8" x14ac:dyDescent="0.25">
      <c r="A743" s="18">
        <v>-414754</v>
      </c>
      <c r="B743" s="20">
        <v>6.1905607596363143E-4</v>
      </c>
      <c r="C743" s="20">
        <v>1.0905269190002036</v>
      </c>
      <c r="D743" s="20">
        <v>-7.0793466342405284E-2</v>
      </c>
      <c r="E743" s="20">
        <v>0.46800779979981261</v>
      </c>
      <c r="F743" s="20">
        <v>4.5556585751524924E-4</v>
      </c>
      <c r="G743" s="20">
        <v>1.3770115524194129</v>
      </c>
      <c r="H743">
        <v>0.25</v>
      </c>
    </row>
    <row r="744" spans="1:8" x14ac:dyDescent="0.25">
      <c r="A744" s="18">
        <v>-1244908</v>
      </c>
      <c r="B744" s="20">
        <v>1.2488662964535535E-3</v>
      </c>
      <c r="C744" s="20">
        <v>1.2488007686603277</v>
      </c>
      <c r="D744" s="20">
        <v>-0.36439389060935845</v>
      </c>
      <c r="E744" s="20">
        <v>0.83758905135938622</v>
      </c>
      <c r="F744" s="20">
        <v>6.1468571997260255E-5</v>
      </c>
      <c r="G744" s="20">
        <v>0.54297774168157309</v>
      </c>
      <c r="H744">
        <v>0.6</v>
      </c>
    </row>
    <row r="745" spans="1:8" x14ac:dyDescent="0.25">
      <c r="A745" s="18">
        <v>958847.5</v>
      </c>
      <c r="B745" s="20">
        <v>1.2301200209438763E-3</v>
      </c>
      <c r="C745" s="20">
        <v>0.83007795305431253</v>
      </c>
      <c r="D745" s="20">
        <v>0.13059547250596185</v>
      </c>
      <c r="E745" s="20">
        <v>0.65428054011221859</v>
      </c>
      <c r="F745" s="20">
        <v>1.9516164202732209E-3</v>
      </c>
      <c r="G745" s="20">
        <v>0.87722709909551622</v>
      </c>
      <c r="H745">
        <v>0.625</v>
      </c>
    </row>
    <row r="746" spans="1:8" x14ac:dyDescent="0.25">
      <c r="A746" s="18">
        <v>-14663</v>
      </c>
      <c r="B746" s="20">
        <v>1.494708568656962E-3</v>
      </c>
      <c r="C746" s="20">
        <v>1.0020682869048867</v>
      </c>
      <c r="D746" s="20">
        <v>-2.0073283982688485E-3</v>
      </c>
      <c r="E746" s="20">
        <v>0.95265677675980565</v>
      </c>
      <c r="F746" s="20">
        <v>2.2007919795573663E-2</v>
      </c>
      <c r="G746" s="20">
        <v>11.414858178243062</v>
      </c>
      <c r="H746">
        <v>0.4</v>
      </c>
    </row>
    <row r="747" spans="1:8" x14ac:dyDescent="0.25">
      <c r="A747" s="18">
        <v>-1939928</v>
      </c>
      <c r="B747" s="20">
        <v>3.2199780343240875E-3</v>
      </c>
      <c r="C747" s="20">
        <v>1.2022346697731476</v>
      </c>
      <c r="D747" s="20">
        <v>-0.10658191954128955</v>
      </c>
      <c r="E747" s="20">
        <v>0.79475281877160853</v>
      </c>
      <c r="F747" s="20">
        <v>1.4504524570406728E-2</v>
      </c>
      <c r="G747" s="20">
        <v>1.2878381698664789</v>
      </c>
      <c r="H747">
        <v>0.45</v>
      </c>
    </row>
    <row r="748" spans="1:8" x14ac:dyDescent="0.25">
      <c r="A748" s="18">
        <v>-2005158</v>
      </c>
      <c r="B748" s="20">
        <v>8.0862321745882662E-3</v>
      </c>
      <c r="C748" s="20">
        <v>1.2371182364924302</v>
      </c>
      <c r="D748" s="20">
        <v>-8.3384330304010698E-2</v>
      </c>
      <c r="E748" s="20">
        <v>0.97638891877724721</v>
      </c>
      <c r="F748" s="20">
        <v>5.1964097245498228E-3</v>
      </c>
      <c r="G748" s="20">
        <v>1.2738616409093382</v>
      </c>
      <c r="H748">
        <v>0.5</v>
      </c>
    </row>
    <row r="749" spans="1:8" x14ac:dyDescent="0.25">
      <c r="A749" s="18">
        <v>118362.5</v>
      </c>
      <c r="B749" s="20">
        <v>2.356222822462777E-3</v>
      </c>
      <c r="C749" s="20">
        <v>0.98679316632144554</v>
      </c>
      <c r="D749" s="20">
        <v>8.7503990307637013E-3</v>
      </c>
      <c r="E749" s="20">
        <v>0.58748632429669212</v>
      </c>
      <c r="F749" s="20">
        <v>2.9109543721721306E-2</v>
      </c>
      <c r="G749" s="20">
        <v>-0.19322999752739298</v>
      </c>
      <c r="H749">
        <v>0.625</v>
      </c>
    </row>
    <row r="750" spans="1:8" x14ac:dyDescent="0.25">
      <c r="A750" s="18">
        <v>-133810</v>
      </c>
      <c r="B750" s="20">
        <v>3.3728031939079752E-4</v>
      </c>
      <c r="C750" s="20">
        <v>1.0924321479464028</v>
      </c>
      <c r="D750" s="20">
        <v>-5.1365123844802935E-2</v>
      </c>
      <c r="E750" s="20">
        <v>0.94937965929731161</v>
      </c>
      <c r="F750" s="20">
        <v>7.1882767290768982E-3</v>
      </c>
      <c r="G750" s="20">
        <v>1.2649339957446326</v>
      </c>
      <c r="H750">
        <v>0.35</v>
      </c>
    </row>
    <row r="751" spans="1:8" x14ac:dyDescent="0.25">
      <c r="A751" s="18">
        <v>-395362</v>
      </c>
      <c r="B751" s="20">
        <v>7.1336280715624959E-3</v>
      </c>
      <c r="C751" s="20">
        <v>1.0500615062281011</v>
      </c>
      <c r="D751" s="20">
        <v>-3.8768030852669777E-2</v>
      </c>
      <c r="E751" s="20">
        <v>0.93905354729846391</v>
      </c>
      <c r="F751" s="20">
        <v>5.3875484217963173E-3</v>
      </c>
      <c r="G751" s="20">
        <v>0.82120569760770545</v>
      </c>
      <c r="H751">
        <v>0.65</v>
      </c>
    </row>
    <row r="752" spans="1:8" x14ac:dyDescent="0.25">
      <c r="A752" s="18">
        <v>-1741700</v>
      </c>
      <c r="B752" s="20">
        <v>8.9930257698655439E-4</v>
      </c>
      <c r="C752" s="20">
        <v>1.2399569461740285</v>
      </c>
      <c r="D752" s="20">
        <v>-0.26882355238200634</v>
      </c>
      <c r="E752" s="20">
        <v>0.9019487274865059</v>
      </c>
      <c r="F752" s="20">
        <v>4.1567557564310756E-2</v>
      </c>
      <c r="G752" s="20">
        <v>0.75738055045225505</v>
      </c>
      <c r="H752">
        <v>0.5</v>
      </c>
    </row>
    <row r="753" spans="1:8" x14ac:dyDescent="0.25">
      <c r="A753" s="18">
        <v>-573089</v>
      </c>
      <c r="B753" s="20">
        <v>1.6758495908945361E-3</v>
      </c>
      <c r="C753" s="20">
        <v>1.0651409142049335</v>
      </c>
      <c r="D753" s="20">
        <v>-0.10276246442424659</v>
      </c>
      <c r="E753" s="20">
        <v>0.64680009296944119</v>
      </c>
      <c r="F753" s="20">
        <v>3.0530057208106681E-2</v>
      </c>
      <c r="G753" s="20">
        <v>0.77096338404553189</v>
      </c>
      <c r="H753">
        <v>0.47499999999999998</v>
      </c>
    </row>
    <row r="754" spans="1:8" x14ac:dyDescent="0.25">
      <c r="A754" s="18">
        <v>696082.5</v>
      </c>
      <c r="B754" s="20">
        <v>8.4578324695580153E-4</v>
      </c>
      <c r="C754" s="20">
        <v>0.8228866484852474</v>
      </c>
      <c r="D754" s="20">
        <v>0.17442896320285789</v>
      </c>
      <c r="E754" s="20">
        <v>0.67282668622442532</v>
      </c>
      <c r="F754" s="20">
        <v>6.7743587738896757E-3</v>
      </c>
      <c r="G754" s="20">
        <v>0.49658259193332993</v>
      </c>
      <c r="H754">
        <v>0.57499999999999996</v>
      </c>
    </row>
    <row r="755" spans="1:8" x14ac:dyDescent="0.25">
      <c r="A755" s="18">
        <v>99411.25</v>
      </c>
      <c r="B755" s="20">
        <v>6.0049729022992025E-4</v>
      </c>
      <c r="C755" s="20">
        <v>0.98582942708243559</v>
      </c>
      <c r="D755" s="20">
        <v>1.9929746572030463E-2</v>
      </c>
      <c r="E755" s="20">
        <v>0.60053450041499745</v>
      </c>
      <c r="F755" s="20">
        <v>5.0182194205229902E-2</v>
      </c>
      <c r="G755" s="20">
        <v>-1.0346729487460273</v>
      </c>
      <c r="H755">
        <v>0.52500000000000002</v>
      </c>
    </row>
    <row r="756" spans="1:8" x14ac:dyDescent="0.25">
      <c r="A756" s="18">
        <v>-266615</v>
      </c>
      <c r="B756" s="20">
        <v>1.3405754806097895E-3</v>
      </c>
      <c r="C756" s="20">
        <v>1.0553506048462877</v>
      </c>
      <c r="D756" s="20">
        <v>-5.5633747711184026E-2</v>
      </c>
      <c r="E756" s="20">
        <v>0.32874739410586018</v>
      </c>
      <c r="F756" s="20">
        <v>2.6216919762328306E-2</v>
      </c>
      <c r="G756" s="20">
        <v>0.68965370898179057</v>
      </c>
      <c r="H756">
        <v>0.4</v>
      </c>
    </row>
    <row r="757" spans="1:8" x14ac:dyDescent="0.25">
      <c r="A757" s="18">
        <v>-326394</v>
      </c>
      <c r="B757" s="20">
        <v>3.3968774853773893E-3</v>
      </c>
      <c r="C757" s="20">
        <v>1.1508415654945425</v>
      </c>
      <c r="D757" s="20">
        <v>-6.9243708603370729E-2</v>
      </c>
      <c r="E757" s="20">
        <v>0.72790874400236083</v>
      </c>
      <c r="F757" s="20">
        <v>8.3267938831053912E-4</v>
      </c>
      <c r="G757" s="20">
        <v>1.3202276958942956</v>
      </c>
      <c r="H757">
        <v>0.45</v>
      </c>
    </row>
    <row r="758" spans="1:8" x14ac:dyDescent="0.25">
      <c r="A758" s="18">
        <v>-1990830</v>
      </c>
      <c r="B758" s="20">
        <v>4.2068826319237923E-3</v>
      </c>
      <c r="C758" s="20">
        <v>1.1979752725864647</v>
      </c>
      <c r="D758" s="20">
        <v>-0.11187718466442492</v>
      </c>
      <c r="E758" s="20">
        <v>0.671718096734787</v>
      </c>
      <c r="F758" s="20">
        <v>1.3273048991162072E-2</v>
      </c>
      <c r="G758" s="20">
        <v>0.73535108844334662</v>
      </c>
      <c r="H758">
        <v>0.52500000000000002</v>
      </c>
    </row>
    <row r="759" spans="1:8" x14ac:dyDescent="0.25">
      <c r="A759" s="18">
        <v>778026.25</v>
      </c>
      <c r="B759" s="20">
        <v>4.0877749220233073E-2</v>
      </c>
      <c r="C759" s="20">
        <v>0.86708214047689658</v>
      </c>
      <c r="D759" s="20">
        <v>6.3716755491760868E-2</v>
      </c>
      <c r="E759" s="20">
        <v>0.88938965879115217</v>
      </c>
      <c r="F759" s="20">
        <v>4.3678900990205228E-3</v>
      </c>
      <c r="G759" s="20">
        <v>0.32189898558678048</v>
      </c>
      <c r="H759">
        <v>0.8</v>
      </c>
    </row>
    <row r="760" spans="1:8" x14ac:dyDescent="0.25">
      <c r="A760" s="18">
        <v>-173921</v>
      </c>
      <c r="B760" s="20">
        <v>9.9035906011650196E-4</v>
      </c>
      <c r="C760" s="20">
        <v>1.0406319891503613</v>
      </c>
      <c r="D760" s="20">
        <v>-2.5392874063486202E-2</v>
      </c>
      <c r="E760" s="20">
        <v>0.82907801512873813</v>
      </c>
      <c r="F760" s="20">
        <v>1.2727316527976604E-2</v>
      </c>
      <c r="G760" s="20">
        <v>2.0361181633580085</v>
      </c>
      <c r="H760">
        <v>0.35</v>
      </c>
    </row>
    <row r="761" spans="1:8" x14ac:dyDescent="0.25">
      <c r="A761" s="18">
        <v>-170785</v>
      </c>
      <c r="B761" s="20">
        <v>1.6987397533742396E-3</v>
      </c>
      <c r="C761" s="20">
        <v>1.0478218421808454</v>
      </c>
      <c r="D761" s="20">
        <v>-3.9012156506396681E-2</v>
      </c>
      <c r="E761" s="20">
        <v>0.55020735185364866</v>
      </c>
      <c r="F761" s="20">
        <v>4.4165731252075846E-2</v>
      </c>
      <c r="G761" s="20">
        <v>1.3473478981221341</v>
      </c>
      <c r="H761">
        <v>0.32500000000000001</v>
      </c>
    </row>
    <row r="762" spans="1:8" x14ac:dyDescent="0.25">
      <c r="A762" s="18">
        <v>388552.5</v>
      </c>
      <c r="B762" s="20">
        <v>6.690248382528719E-3</v>
      </c>
      <c r="C762" s="20">
        <v>0.95712777629428958</v>
      </c>
      <c r="D762" s="20">
        <v>5.5545286665014112E-2</v>
      </c>
      <c r="E762" s="20">
        <v>0.79813369716494753</v>
      </c>
      <c r="F762" s="20">
        <v>6.5244384822932405E-2</v>
      </c>
      <c r="G762" s="20">
        <v>0.62016423531777776</v>
      </c>
      <c r="H762">
        <v>0.75</v>
      </c>
    </row>
    <row r="763" spans="1:8" x14ac:dyDescent="0.25">
      <c r="A763" s="18">
        <v>1220842.5</v>
      </c>
      <c r="B763" s="20">
        <v>3.18550868405029E-3</v>
      </c>
      <c r="C763" s="20">
        <v>0.84183712694759627</v>
      </c>
      <c r="D763" s="20">
        <v>8.337093818131755E-2</v>
      </c>
      <c r="E763" s="20">
        <v>0.79659913930204251</v>
      </c>
      <c r="F763" s="20">
        <v>6.5872221002872123E-4</v>
      </c>
      <c r="G763" s="20">
        <v>1.1728657731206331</v>
      </c>
      <c r="H763">
        <v>0.6</v>
      </c>
    </row>
    <row r="764" spans="1:8" x14ac:dyDescent="0.25">
      <c r="A764" s="18">
        <v>-1648380</v>
      </c>
      <c r="B764" s="20">
        <v>9.2540766207685633E-3</v>
      </c>
      <c r="C764" s="20">
        <v>1.1850052815679588</v>
      </c>
      <c r="D764" s="20">
        <v>-0.19487859367923166</v>
      </c>
      <c r="E764" s="20">
        <v>0.39117790722959556</v>
      </c>
      <c r="F764" s="20">
        <v>1.2900637075357478E-3</v>
      </c>
      <c r="G764" s="20">
        <v>0.67436098644826536</v>
      </c>
      <c r="H764">
        <v>0.5</v>
      </c>
    </row>
    <row r="765" spans="1:8" x14ac:dyDescent="0.25">
      <c r="A765" s="18">
        <v>-2590559</v>
      </c>
      <c r="B765" s="20">
        <v>1.4864753971806657E-2</v>
      </c>
      <c r="C765" s="20">
        <v>1.26410506659804</v>
      </c>
      <c r="D765" s="20">
        <v>-8.5020801643389557E-2</v>
      </c>
      <c r="E765" s="20">
        <v>0.9575988934614037</v>
      </c>
      <c r="F765" s="20">
        <v>1.817598645841962E-2</v>
      </c>
      <c r="G765" s="20">
        <v>0.63164461289720653</v>
      </c>
      <c r="H765">
        <v>0.65</v>
      </c>
    </row>
    <row r="766" spans="1:8" x14ac:dyDescent="0.25">
      <c r="A766" s="18">
        <v>164915</v>
      </c>
      <c r="B766" s="20">
        <v>5.5525722945739663E-3</v>
      </c>
      <c r="C766" s="20">
        <v>0.9634392078485593</v>
      </c>
      <c r="D766" s="20">
        <v>3.1649025235355024E-2</v>
      </c>
      <c r="E766" s="20">
        <v>0.98838819399684597</v>
      </c>
      <c r="F766" s="20">
        <v>1.8711335903023464E-4</v>
      </c>
      <c r="G766" s="20">
        <v>1.4621707875821086</v>
      </c>
      <c r="H766">
        <v>0.7</v>
      </c>
    </row>
    <row r="767" spans="1:8" x14ac:dyDescent="0.25">
      <c r="A767" s="18">
        <v>2090491.25</v>
      </c>
      <c r="B767" s="20">
        <v>2.4435273527840915E-3</v>
      </c>
      <c r="C767" s="20">
        <v>0.82565652516166477</v>
      </c>
      <c r="D767" s="20">
        <v>0.24728795368450537</v>
      </c>
      <c r="E767" s="20">
        <v>0.82020033690254956</v>
      </c>
      <c r="F767" s="20">
        <v>9.5093587733235917E-3</v>
      </c>
      <c r="G767" s="20">
        <v>0.31898284998828136</v>
      </c>
      <c r="H767">
        <v>0.7</v>
      </c>
    </row>
    <row r="768" spans="1:8" x14ac:dyDescent="0.25">
      <c r="A768" s="18">
        <v>-674648</v>
      </c>
      <c r="B768" s="20">
        <v>6.6918435047295401E-4</v>
      </c>
      <c r="C768" s="20">
        <v>1.1915791526542201</v>
      </c>
      <c r="D768" s="20">
        <v>-0.15366894374809378</v>
      </c>
      <c r="E768" s="20">
        <v>0.85389107351454419</v>
      </c>
      <c r="F768" s="20">
        <v>4.6104691990399675E-2</v>
      </c>
      <c r="G768" s="20">
        <v>0.89678958529197217</v>
      </c>
      <c r="H768">
        <v>0.5</v>
      </c>
    </row>
    <row r="769" spans="1:8" x14ac:dyDescent="0.25">
      <c r="A769" s="18">
        <v>1177876.25</v>
      </c>
      <c r="B769" s="20">
        <v>9.6023796968728817E-3</v>
      </c>
      <c r="C769" s="20">
        <v>0.90844265198269813</v>
      </c>
      <c r="D769" s="20">
        <v>8.6146025980070678E-2</v>
      </c>
      <c r="E769" s="20">
        <v>0.68171355416474155</v>
      </c>
      <c r="F769" s="20">
        <v>6.3345190992567186E-3</v>
      </c>
      <c r="G769" s="20">
        <v>0.26148221766049701</v>
      </c>
      <c r="H769">
        <v>0.72499999999999998</v>
      </c>
    </row>
    <row r="770" spans="1:8" x14ac:dyDescent="0.25">
      <c r="A770" s="18">
        <v>320026.25</v>
      </c>
      <c r="B770" s="20">
        <v>5.9636810812021006E-4</v>
      </c>
      <c r="C770" s="20">
        <v>0.93618503212438708</v>
      </c>
      <c r="D770" s="20">
        <v>5.4987158115318541E-2</v>
      </c>
      <c r="E770" s="20">
        <v>0.90584938759634537</v>
      </c>
      <c r="F770" s="20">
        <v>2.0291861640290461E-2</v>
      </c>
      <c r="G770" s="20">
        <v>0.8531861270750617</v>
      </c>
      <c r="H770">
        <v>0.65</v>
      </c>
    </row>
    <row r="771" spans="1:8" x14ac:dyDescent="0.25">
      <c r="A771" s="18">
        <v>122016.25</v>
      </c>
      <c r="B771" s="20">
        <v>1.6301044058999529E-4</v>
      </c>
      <c r="C771" s="20">
        <v>0.86288120722933848</v>
      </c>
      <c r="D771" s="20">
        <v>0.11806794001786265</v>
      </c>
      <c r="E771" s="20">
        <v>0.70354515778760374</v>
      </c>
      <c r="F771" s="20">
        <v>1.9063497577510472E-2</v>
      </c>
      <c r="G771" s="20">
        <v>1.1118360809919809</v>
      </c>
      <c r="H771">
        <v>0.5</v>
      </c>
    </row>
    <row r="772" spans="1:8" x14ac:dyDescent="0.25">
      <c r="A772" s="18">
        <v>-1460011</v>
      </c>
      <c r="B772" s="20">
        <v>1.942638828240344E-2</v>
      </c>
      <c r="C772" s="20">
        <v>1.1679604716874123</v>
      </c>
      <c r="D772" s="20">
        <v>-0.18992769012984451</v>
      </c>
      <c r="E772" s="20">
        <v>0.68454238645917254</v>
      </c>
      <c r="F772" s="20">
        <v>1.8548640765408027E-2</v>
      </c>
      <c r="G772" s="20">
        <v>1.0980835315113648</v>
      </c>
      <c r="H772">
        <v>0.5</v>
      </c>
    </row>
    <row r="773" spans="1:8" x14ac:dyDescent="0.25">
      <c r="A773" s="18">
        <v>-208609</v>
      </c>
      <c r="B773" s="20">
        <v>2.6832674137438635E-4</v>
      </c>
      <c r="C773" s="20">
        <v>1.2494100813783646</v>
      </c>
      <c r="D773" s="20">
        <v>-0.14198680382844162</v>
      </c>
      <c r="E773" s="20">
        <v>0.87827316832890578</v>
      </c>
      <c r="F773" s="20">
        <v>2.0280231470704745E-2</v>
      </c>
      <c r="G773" s="20">
        <v>0.8388097739128072</v>
      </c>
      <c r="H773">
        <v>0.5</v>
      </c>
    </row>
    <row r="774" spans="1:8" x14ac:dyDescent="0.25">
      <c r="A774" s="18">
        <v>-225468</v>
      </c>
      <c r="B774" s="20">
        <v>1.1757115888630823E-3</v>
      </c>
      <c r="C774" s="20">
        <v>1.1608591783475093</v>
      </c>
      <c r="D774" s="20">
        <v>-4.0478398702209414E-2</v>
      </c>
      <c r="E774" s="20">
        <v>0.91677455479482495</v>
      </c>
      <c r="F774" s="20">
        <v>1.9347650537281137E-2</v>
      </c>
      <c r="G774" s="20">
        <v>0.97060669821354539</v>
      </c>
      <c r="H774">
        <v>0.55000000000000004</v>
      </c>
    </row>
    <row r="775" spans="1:8" x14ac:dyDescent="0.25">
      <c r="A775" s="18">
        <v>-42663</v>
      </c>
      <c r="B775" s="20">
        <v>1.1699383864858874E-4</v>
      </c>
      <c r="C775" s="20">
        <v>1.075421005247863</v>
      </c>
      <c r="D775" s="20">
        <v>-7.0754177204693389E-2</v>
      </c>
      <c r="E775" s="20">
        <v>0.61796750975414527</v>
      </c>
      <c r="F775" s="20">
        <v>4.4406484514283348E-2</v>
      </c>
      <c r="G775" s="20">
        <v>0.95735793584614093</v>
      </c>
      <c r="H775">
        <v>0.42499999999999999</v>
      </c>
    </row>
    <row r="776" spans="1:8" x14ac:dyDescent="0.25">
      <c r="A776" s="18">
        <v>-2291991</v>
      </c>
      <c r="B776" s="20">
        <v>2.3419798603622126E-3</v>
      </c>
      <c r="C776" s="20">
        <v>1.3029141406331572</v>
      </c>
      <c r="D776" s="20">
        <v>-0.15798840269582212</v>
      </c>
      <c r="E776" s="20">
        <v>0.89467639516507314</v>
      </c>
      <c r="F776" s="20">
        <v>8.0154614179018518E-3</v>
      </c>
      <c r="G776" s="20">
        <v>1.0292668814532291</v>
      </c>
      <c r="H776">
        <v>0.47499999999999998</v>
      </c>
    </row>
    <row r="777" spans="1:8" x14ac:dyDescent="0.25">
      <c r="A777" s="18">
        <v>-1288058</v>
      </c>
      <c r="B777" s="20">
        <v>8.1833526129231678E-4</v>
      </c>
      <c r="C777" s="20">
        <v>1.1718099078512196</v>
      </c>
      <c r="D777" s="20">
        <v>-0.18943444598508241</v>
      </c>
      <c r="E777" s="20">
        <v>0.32768629827734008</v>
      </c>
      <c r="F777" s="20">
        <v>7.2922212424104627E-2</v>
      </c>
      <c r="G777" s="20">
        <v>1.5264865128232903</v>
      </c>
      <c r="H777">
        <v>0.15</v>
      </c>
    </row>
    <row r="778" spans="1:8" x14ac:dyDescent="0.25">
      <c r="A778" s="18">
        <v>-698316</v>
      </c>
      <c r="B778" s="20">
        <v>2.242632327424058E-3</v>
      </c>
      <c r="C778" s="20">
        <v>1.1234470658635989</v>
      </c>
      <c r="D778" s="20">
        <v>-7.0983939070075802E-2</v>
      </c>
      <c r="E778" s="20">
        <v>0.89901703301940372</v>
      </c>
      <c r="F778" s="20">
        <v>5.0225449908728313E-2</v>
      </c>
      <c r="G778" s="20">
        <v>1.438148701579202</v>
      </c>
      <c r="H778">
        <v>0.35</v>
      </c>
    </row>
    <row r="779" spans="1:8" x14ac:dyDescent="0.25">
      <c r="A779" s="18">
        <v>1171855</v>
      </c>
      <c r="B779" s="20">
        <v>1.1212342368196479E-3</v>
      </c>
      <c r="C779" s="20">
        <v>0.86419077757027307</v>
      </c>
      <c r="D779" s="20">
        <v>0.17310353211829752</v>
      </c>
      <c r="E779" s="20">
        <v>0.47835840759960524</v>
      </c>
      <c r="F779" s="20">
        <v>2.1099677281501025E-2</v>
      </c>
      <c r="G779" s="20">
        <v>0.96715939539709661</v>
      </c>
      <c r="H779">
        <v>0.55000000000000004</v>
      </c>
    </row>
    <row r="780" spans="1:8" x14ac:dyDescent="0.25">
      <c r="A780" s="18">
        <v>-812838</v>
      </c>
      <c r="B780" s="20">
        <v>1.0806546013821571E-3</v>
      </c>
      <c r="C780" s="20">
        <v>1.0998589878076044</v>
      </c>
      <c r="D780" s="20">
        <v>-0.11065824007985318</v>
      </c>
      <c r="E780" s="20">
        <v>0.37425644012650822</v>
      </c>
      <c r="F780" s="20">
        <v>6.7396539450581931E-3</v>
      </c>
      <c r="G780" s="20">
        <v>1.3888292665113355</v>
      </c>
      <c r="H780">
        <v>0.25</v>
      </c>
    </row>
    <row r="781" spans="1:8" x14ac:dyDescent="0.25">
      <c r="A781" s="18">
        <v>797392.5</v>
      </c>
      <c r="B781" s="20">
        <v>7.1859341506388666E-3</v>
      </c>
      <c r="C781" s="20">
        <v>0.93913125611111892</v>
      </c>
      <c r="D781" s="20">
        <v>2.9919850517910206E-2</v>
      </c>
      <c r="E781" s="20">
        <v>0.93606694455446793</v>
      </c>
      <c r="F781" s="20">
        <v>2.1197366608142177E-3</v>
      </c>
      <c r="G781" s="20">
        <v>-1.631550187001311E-2</v>
      </c>
      <c r="H781">
        <v>0.8</v>
      </c>
    </row>
    <row r="782" spans="1:8" x14ac:dyDescent="0.25">
      <c r="A782" s="18">
        <v>986532.5</v>
      </c>
      <c r="B782" s="20">
        <v>1.5078212528478756E-3</v>
      </c>
      <c r="C782" s="20">
        <v>0.92001647461551261</v>
      </c>
      <c r="D782" s="20">
        <v>6.9820720592626395E-2</v>
      </c>
      <c r="E782" s="20">
        <v>0.88962012089683873</v>
      </c>
      <c r="F782" s="20">
        <v>8.8292523115983713E-3</v>
      </c>
      <c r="G782" s="20">
        <v>1.0878683494073227</v>
      </c>
      <c r="H782">
        <v>0.625</v>
      </c>
    </row>
    <row r="783" spans="1:8" x14ac:dyDescent="0.25">
      <c r="A783" s="18">
        <v>-66040</v>
      </c>
      <c r="B783" s="20">
        <v>2.2580523979009865E-4</v>
      </c>
      <c r="C783" s="20">
        <v>1.124566989880043</v>
      </c>
      <c r="D783" s="20">
        <v>-4.9873428428156286E-2</v>
      </c>
      <c r="E783" s="20">
        <v>0.75589806822852446</v>
      </c>
      <c r="F783" s="20">
        <v>2.6765054162966186E-2</v>
      </c>
      <c r="G783" s="20">
        <v>0.90078701774335446</v>
      </c>
      <c r="H783">
        <v>0.5</v>
      </c>
    </row>
    <row r="784" spans="1:8" x14ac:dyDescent="0.25">
      <c r="A784" s="18">
        <v>-99086</v>
      </c>
      <c r="B784" s="20">
        <v>2.7321559903257587E-4</v>
      </c>
      <c r="C784" s="20">
        <v>1.1142985010944979</v>
      </c>
      <c r="D784" s="20">
        <v>-6.7392834673785512E-2</v>
      </c>
      <c r="E784" s="20">
        <v>0.74175132569556446</v>
      </c>
      <c r="F784" s="20">
        <v>2.3103160973287309E-2</v>
      </c>
      <c r="G784" s="20">
        <v>0.69646790542237214</v>
      </c>
      <c r="H784">
        <v>0.5</v>
      </c>
    </row>
    <row r="785" spans="1:8" x14ac:dyDescent="0.25">
      <c r="A785" s="18">
        <v>-459390</v>
      </c>
      <c r="B785" s="20">
        <v>2.7895210552808416E-3</v>
      </c>
      <c r="C785" s="20">
        <v>1.2133405714455545</v>
      </c>
      <c r="D785" s="20">
        <v>-8.8224245794949641E-2</v>
      </c>
      <c r="E785" s="20">
        <v>0.90653756533874474</v>
      </c>
      <c r="F785" s="20">
        <v>2.0215391682696149E-2</v>
      </c>
      <c r="G785" s="20">
        <v>0.67922875041645792</v>
      </c>
      <c r="H785">
        <v>0.55000000000000004</v>
      </c>
    </row>
    <row r="786" spans="1:8" x14ac:dyDescent="0.25">
      <c r="A786" s="18">
        <v>75413.75</v>
      </c>
      <c r="B786" s="20">
        <v>3.0870728311871751E-4</v>
      </c>
      <c r="C786" s="20">
        <v>0.96165449309131812</v>
      </c>
      <c r="D786" s="20">
        <v>6.2086355100484991E-2</v>
      </c>
      <c r="E786" s="20">
        <v>0.27803455188619863</v>
      </c>
      <c r="F786" s="20">
        <v>7.3799313222888074E-2</v>
      </c>
      <c r="G786" s="20">
        <v>1.9555962627876886</v>
      </c>
      <c r="H786">
        <v>0.3</v>
      </c>
    </row>
    <row r="787" spans="1:8" x14ac:dyDescent="0.25">
      <c r="A787" s="18">
        <v>405022.5</v>
      </c>
      <c r="B787" s="20">
        <v>1.60432721464772E-4</v>
      </c>
      <c r="C787" s="20">
        <v>0.82402994365178817</v>
      </c>
      <c r="D787" s="20">
        <v>0.27918453693096046</v>
      </c>
      <c r="E787" s="20">
        <v>0.64007874720989655</v>
      </c>
      <c r="F787" s="20">
        <v>8.8102987866831545E-2</v>
      </c>
      <c r="G787" s="20">
        <v>1.2921106557797737</v>
      </c>
      <c r="H787">
        <v>0.375</v>
      </c>
    </row>
    <row r="788" spans="1:8" x14ac:dyDescent="0.25">
      <c r="A788" s="18">
        <v>-1569336</v>
      </c>
      <c r="B788" s="20">
        <v>7.4124460781106712E-3</v>
      </c>
      <c r="C788" s="20">
        <v>1.2417105688597572</v>
      </c>
      <c r="D788" s="20">
        <v>-0.36907785099220469</v>
      </c>
      <c r="E788" s="20">
        <v>0.33048090669549252</v>
      </c>
      <c r="F788" s="20">
        <v>3.4665664482463264E-4</v>
      </c>
      <c r="G788" s="20">
        <v>1.4963103997000298</v>
      </c>
      <c r="H788">
        <v>0.4</v>
      </c>
    </row>
    <row r="789" spans="1:8" x14ac:dyDescent="0.25">
      <c r="A789" s="18">
        <v>-405810</v>
      </c>
      <c r="B789" s="20">
        <v>2.1434930851617941E-3</v>
      </c>
      <c r="C789" s="20">
        <v>1.2141107853866382</v>
      </c>
      <c r="D789" s="20">
        <v>-0.19398007379474086</v>
      </c>
      <c r="E789" s="20">
        <v>0.74375863473890114</v>
      </c>
      <c r="F789" s="20">
        <v>5.7140972429026698E-3</v>
      </c>
      <c r="G789" s="20">
        <v>1.198977742676933</v>
      </c>
      <c r="H789">
        <v>0.4</v>
      </c>
    </row>
    <row r="790" spans="1:8" x14ac:dyDescent="0.25">
      <c r="A790" s="18">
        <v>-394654</v>
      </c>
      <c r="B790" s="20">
        <v>7.5759813312524169E-4</v>
      </c>
      <c r="C790" s="20">
        <v>1.2201073759792942</v>
      </c>
      <c r="D790" s="20">
        <v>-0.10620178214821706</v>
      </c>
      <c r="E790" s="20">
        <v>0.94605028372010014</v>
      </c>
      <c r="F790" s="20">
        <v>1.5637996736881394E-2</v>
      </c>
      <c r="G790" s="20">
        <v>0.86192552231043462</v>
      </c>
      <c r="H790">
        <v>0.5</v>
      </c>
    </row>
    <row r="791" spans="1:8" x14ac:dyDescent="0.25">
      <c r="A791" s="18">
        <v>1195910</v>
      </c>
      <c r="B791" s="20">
        <v>2.6319636509203781E-3</v>
      </c>
      <c r="C791" s="20">
        <v>0.87274446234851943</v>
      </c>
      <c r="D791" s="20">
        <v>0.20172654482545968</v>
      </c>
      <c r="E791" s="20">
        <v>0.62698532895627457</v>
      </c>
      <c r="F791" s="20">
        <v>4.7291904084291604E-2</v>
      </c>
      <c r="G791" s="20">
        <v>0.86723376435725985</v>
      </c>
      <c r="H791">
        <v>0.625</v>
      </c>
    </row>
    <row r="792" spans="1:8" x14ac:dyDescent="0.25">
      <c r="A792" s="18">
        <v>-1246912</v>
      </c>
      <c r="B792" s="20">
        <v>1.438399338822923E-3</v>
      </c>
      <c r="C792" s="20">
        <v>1.2302317716045945</v>
      </c>
      <c r="D792" s="20">
        <v>-0.34699143869686755</v>
      </c>
      <c r="E792" s="20">
        <v>0.29170026954002859</v>
      </c>
      <c r="F792" s="20">
        <v>2.8379057157446999E-2</v>
      </c>
      <c r="G792" s="20">
        <v>1.5035785837790541</v>
      </c>
      <c r="H792">
        <v>0.25</v>
      </c>
    </row>
    <row r="793" spans="1:8" x14ac:dyDescent="0.25">
      <c r="A793" s="18">
        <v>-66080</v>
      </c>
      <c r="B793" s="20">
        <v>2.8507296812301918E-4</v>
      </c>
      <c r="C793" s="20">
        <v>1.0171325362429164</v>
      </c>
      <c r="D793" s="20">
        <v>-1.6271846209383791E-2</v>
      </c>
      <c r="E793" s="20">
        <v>0.79172188019134671</v>
      </c>
      <c r="F793" s="20">
        <v>8.1580851228342174E-3</v>
      </c>
      <c r="G793" s="20">
        <v>3.6877967013439314</v>
      </c>
      <c r="H793">
        <v>0.35</v>
      </c>
    </row>
    <row r="794" spans="1:8" x14ac:dyDescent="0.25">
      <c r="A794" s="18">
        <v>286616.25</v>
      </c>
      <c r="B794" s="20">
        <v>1.1965855025643792E-3</v>
      </c>
      <c r="C794" s="20">
        <v>0.97268685658059462</v>
      </c>
      <c r="D794" s="20">
        <v>1.5647212486488257E-2</v>
      </c>
      <c r="E794" s="20">
        <v>0.93867039783033868</v>
      </c>
      <c r="F794" s="20">
        <v>2.1180680664286418E-2</v>
      </c>
      <c r="G794" s="20">
        <v>2.2700160172140702</v>
      </c>
      <c r="H794">
        <v>0.55000000000000004</v>
      </c>
    </row>
    <row r="795" spans="1:8" x14ac:dyDescent="0.25">
      <c r="A795" s="18">
        <v>-540094</v>
      </c>
      <c r="B795" s="20">
        <v>7.4552448974203307E-4</v>
      </c>
      <c r="C795" s="20">
        <v>1.0724522117267192</v>
      </c>
      <c r="D795" s="20">
        <v>-7.0661189894801177E-2</v>
      </c>
      <c r="E795" s="20">
        <v>0.70060579773298137</v>
      </c>
      <c r="F795" s="20">
        <v>0.11104802136003826</v>
      </c>
      <c r="G795" s="20">
        <v>0.93637925099472796</v>
      </c>
      <c r="H795">
        <v>0.45</v>
      </c>
    </row>
    <row r="796" spans="1:8" x14ac:dyDescent="0.25">
      <c r="A796" s="18">
        <v>-63401</v>
      </c>
      <c r="B796" s="20">
        <v>3.9702548843062821E-4</v>
      </c>
      <c r="C796" s="20">
        <v>1.0136651212153065</v>
      </c>
      <c r="D796" s="20">
        <v>-1.8830568837563361E-2</v>
      </c>
      <c r="E796" s="20">
        <v>0.39033460955455918</v>
      </c>
      <c r="F796" s="20">
        <v>1.2988135443709812E-3</v>
      </c>
      <c r="G796" s="20">
        <v>2.8376582723048878</v>
      </c>
      <c r="H796">
        <v>0.2</v>
      </c>
    </row>
    <row r="797" spans="1:8" x14ac:dyDescent="0.25">
      <c r="A797" s="18">
        <v>-1883276</v>
      </c>
      <c r="B797" s="20">
        <v>2.8246098197635774E-3</v>
      </c>
      <c r="C797" s="20">
        <v>1.1846275503190311</v>
      </c>
      <c r="D797" s="20">
        <v>-0.24662327536331333</v>
      </c>
      <c r="E797" s="20">
        <v>0.50300585058111569</v>
      </c>
      <c r="F797" s="20">
        <v>3.1803716119150692E-2</v>
      </c>
      <c r="G797" s="20">
        <v>0.96273045334923513</v>
      </c>
      <c r="H797">
        <v>0.47499999999999998</v>
      </c>
    </row>
    <row r="798" spans="1:8" x14ac:dyDescent="0.25">
      <c r="A798" s="18">
        <v>1875810</v>
      </c>
      <c r="B798" s="20">
        <v>1.9390120998706943E-3</v>
      </c>
      <c r="C798" s="20">
        <v>0.81090434611095519</v>
      </c>
      <c r="D798" s="20">
        <v>0.24382406857505623</v>
      </c>
      <c r="E798" s="20">
        <v>0.43844226876142867</v>
      </c>
      <c r="F798" s="20">
        <v>7.8791357615003096E-2</v>
      </c>
      <c r="G798" s="20">
        <v>0.62134126386886757</v>
      </c>
      <c r="H798">
        <v>0.5</v>
      </c>
    </row>
    <row r="799" spans="1:8" x14ac:dyDescent="0.25">
      <c r="A799" s="18">
        <v>517636.25</v>
      </c>
      <c r="B799" s="20">
        <v>6.4897725846577874E-4</v>
      </c>
      <c r="C799" s="20">
        <v>0.8517298070101107</v>
      </c>
      <c r="D799" s="20">
        <v>0.18508280230636495</v>
      </c>
      <c r="E799" s="20">
        <v>0.44644600798748896</v>
      </c>
      <c r="F799" s="20">
        <v>2.0434199018729383E-2</v>
      </c>
      <c r="G799" s="20">
        <v>0.79630637227032153</v>
      </c>
      <c r="H799">
        <v>0.5</v>
      </c>
    </row>
    <row r="800" spans="1:8" x14ac:dyDescent="0.25">
      <c r="A800" s="18">
        <v>-1085353</v>
      </c>
      <c r="B800" s="20">
        <v>5.0892870407867683E-4</v>
      </c>
      <c r="C800" s="20">
        <v>1.1795994613677665</v>
      </c>
      <c r="D800" s="20">
        <v>-0.19731452286140627</v>
      </c>
      <c r="E800" s="20">
        <v>0.4431435226574123</v>
      </c>
      <c r="F800" s="20">
        <v>3.256066948040804E-2</v>
      </c>
      <c r="G800" s="20">
        <v>1.2822165118387918</v>
      </c>
      <c r="H800">
        <v>0.2</v>
      </c>
    </row>
    <row r="801" spans="1:8" x14ac:dyDescent="0.25">
      <c r="A801" s="18">
        <v>165541.25</v>
      </c>
      <c r="B801" s="20">
        <v>1.939042242044107E-3</v>
      </c>
      <c r="C801" s="20">
        <v>0.95349756266786834</v>
      </c>
      <c r="D801" s="20">
        <v>4.3316604991864786E-2</v>
      </c>
      <c r="E801" s="20">
        <v>0.41316704556314887</v>
      </c>
      <c r="F801" s="20">
        <v>5.0420000952466182E-2</v>
      </c>
      <c r="G801" s="20">
        <v>0.92680118018760738</v>
      </c>
      <c r="H801">
        <v>0.5</v>
      </c>
    </row>
    <row r="802" spans="1:8" x14ac:dyDescent="0.25">
      <c r="A802" s="18">
        <v>255910</v>
      </c>
      <c r="B802" s="20">
        <v>8.027807506974639E-3</v>
      </c>
      <c r="C802" s="20">
        <v>0.95807883929020976</v>
      </c>
      <c r="D802" s="20">
        <v>2.0272803120828155E-2</v>
      </c>
      <c r="E802" s="20">
        <v>0.93076918482719784</v>
      </c>
      <c r="F802" s="20">
        <v>4.0364988090292597E-3</v>
      </c>
      <c r="G802" s="20">
        <v>0.50437187710312781</v>
      </c>
      <c r="H802">
        <v>0.8</v>
      </c>
    </row>
    <row r="803" spans="1:8" x14ac:dyDescent="0.25">
      <c r="A803" s="18">
        <v>192435</v>
      </c>
      <c r="B803" s="20">
        <v>1.4442828145139067E-4</v>
      </c>
      <c r="C803" s="20">
        <v>0.85945602699639589</v>
      </c>
      <c r="D803" s="20">
        <v>0.24782356728911784</v>
      </c>
      <c r="E803" s="20">
        <v>0.58607489078552899</v>
      </c>
      <c r="F803" s="20">
        <v>1.827430779137154E-3</v>
      </c>
      <c r="G803" s="20">
        <v>1.0844505301825798</v>
      </c>
      <c r="H803">
        <v>0.5</v>
      </c>
    </row>
    <row r="804" spans="1:8" x14ac:dyDescent="0.25">
      <c r="A804" s="18">
        <v>64433.75</v>
      </c>
      <c r="B804" s="20">
        <v>2.6503797246779171E-4</v>
      </c>
      <c r="C804" s="20">
        <v>0.92073712289712839</v>
      </c>
      <c r="D804" s="20">
        <v>9.0563617836185384E-2</v>
      </c>
      <c r="E804" s="20">
        <v>0.58396697823610333</v>
      </c>
      <c r="F804" s="20">
        <v>6.9722759056888864E-2</v>
      </c>
      <c r="G804" s="20">
        <v>1.3039758030508284</v>
      </c>
      <c r="H804">
        <v>0.375</v>
      </c>
    </row>
    <row r="805" spans="1:8" x14ac:dyDescent="0.25">
      <c r="A805" s="18">
        <v>-592386</v>
      </c>
      <c r="B805" s="20">
        <v>2.4330232162317398E-4</v>
      </c>
      <c r="C805" s="20">
        <v>1.2033584225140497</v>
      </c>
      <c r="D805" s="20">
        <v>-0.21410030568926097</v>
      </c>
      <c r="E805" s="20">
        <v>0.86976921831604659</v>
      </c>
      <c r="F805" s="20">
        <v>1.5161218738050543E-2</v>
      </c>
      <c r="G805" s="20">
        <v>1.7621026840970231</v>
      </c>
      <c r="H805">
        <v>0.35</v>
      </c>
    </row>
    <row r="806" spans="1:8" x14ac:dyDescent="0.25">
      <c r="A806" s="18">
        <v>-228868</v>
      </c>
      <c r="B806" s="20">
        <v>2.7392237873468755E-3</v>
      </c>
      <c r="C806" s="20">
        <v>1.0352195448364254</v>
      </c>
      <c r="D806" s="20">
        <v>-2.541719344289094E-2</v>
      </c>
      <c r="E806" s="20">
        <v>0.7820549198134662</v>
      </c>
      <c r="F806" s="20">
        <v>2.4131163503936272E-2</v>
      </c>
      <c r="G806" s="20">
        <v>1.590145269490828</v>
      </c>
      <c r="H806">
        <v>0.4</v>
      </c>
    </row>
    <row r="807" spans="1:8" x14ac:dyDescent="0.25">
      <c r="A807" s="18">
        <v>-1765080</v>
      </c>
      <c r="B807" s="20">
        <v>9.0147340793012704E-4</v>
      </c>
      <c r="C807" s="20">
        <v>1.2722379403748802</v>
      </c>
      <c r="D807" s="20">
        <v>-0.22120828893180289</v>
      </c>
      <c r="E807" s="20">
        <v>0.97648235806663208</v>
      </c>
      <c r="F807" s="20">
        <v>2.6823265846349044E-3</v>
      </c>
      <c r="G807" s="20">
        <v>1.2490653578692752</v>
      </c>
      <c r="H807">
        <v>0.35</v>
      </c>
    </row>
    <row r="808" spans="1:8" x14ac:dyDescent="0.25">
      <c r="A808" s="18">
        <v>-314928</v>
      </c>
      <c r="B808" s="20">
        <v>1.165360063515781E-3</v>
      </c>
      <c r="C808" s="20">
        <v>1.0358292601213108</v>
      </c>
      <c r="D808" s="20">
        <v>-3.6960096385802339E-2</v>
      </c>
      <c r="E808" s="20">
        <v>0.926541970851535</v>
      </c>
      <c r="F808" s="20">
        <v>5.4626601838310843E-3</v>
      </c>
      <c r="G808" s="20">
        <v>1.542118924014501</v>
      </c>
      <c r="H808">
        <v>0.4</v>
      </c>
    </row>
    <row r="809" spans="1:8" x14ac:dyDescent="0.25">
      <c r="A809" s="18">
        <v>1120660</v>
      </c>
      <c r="B809" s="20">
        <v>1.2614471364041957E-2</v>
      </c>
      <c r="C809" s="20">
        <v>0.84765311951673383</v>
      </c>
      <c r="D809" s="20">
        <v>0.11179921353673729</v>
      </c>
      <c r="E809" s="20">
        <v>0.98974664153955494</v>
      </c>
      <c r="F809" s="20">
        <v>6.0333326582775522E-2</v>
      </c>
      <c r="G809" s="20">
        <v>0.8692074997667868</v>
      </c>
      <c r="H809">
        <v>0.75</v>
      </c>
    </row>
    <row r="810" spans="1:8" x14ac:dyDescent="0.25">
      <c r="A810" s="18">
        <v>75295</v>
      </c>
      <c r="B810" s="20">
        <v>1.3184890637116737E-3</v>
      </c>
      <c r="C810" s="20">
        <v>0.90640040661115018</v>
      </c>
      <c r="D810" s="20">
        <v>0.11319594572247262</v>
      </c>
      <c r="E810" s="20">
        <v>0.7286120668219902</v>
      </c>
      <c r="F810" s="20">
        <v>1.944303295077679E-2</v>
      </c>
      <c r="G810" s="20">
        <v>0.55461644948895694</v>
      </c>
      <c r="H810">
        <v>0.7</v>
      </c>
    </row>
    <row r="811" spans="1:8" x14ac:dyDescent="0.25">
      <c r="A811" s="18">
        <v>-92681</v>
      </c>
      <c r="B811" s="20">
        <v>2.0649563232023873E-3</v>
      </c>
      <c r="C811" s="20">
        <v>1.0144942098633962</v>
      </c>
      <c r="D811" s="20">
        <v>-1.6232388976246112E-2</v>
      </c>
      <c r="E811" s="20">
        <v>0.45625493292342872</v>
      </c>
      <c r="F811" s="20">
        <v>3.8780944627974399E-2</v>
      </c>
      <c r="G811" s="20">
        <v>1.8727420679285711</v>
      </c>
      <c r="H811">
        <v>0.25</v>
      </c>
    </row>
    <row r="812" spans="1:8" x14ac:dyDescent="0.25">
      <c r="A812" s="18">
        <v>-389176</v>
      </c>
      <c r="B812" s="20">
        <v>3.7894297767845143E-3</v>
      </c>
      <c r="C812" s="20">
        <v>1.0389029206941036</v>
      </c>
      <c r="D812" s="20">
        <v>-3.751401319626186E-2</v>
      </c>
      <c r="E812" s="20">
        <v>0.42089359603465054</v>
      </c>
      <c r="F812" s="20">
        <v>4.1251283237662847E-2</v>
      </c>
      <c r="G812" s="20">
        <v>1.2311082345784459</v>
      </c>
      <c r="H812">
        <v>0.3</v>
      </c>
    </row>
    <row r="813" spans="1:8" x14ac:dyDescent="0.25">
      <c r="A813" s="18">
        <v>313025</v>
      </c>
      <c r="B813" s="20">
        <v>3.8523942138067097E-4</v>
      </c>
      <c r="C813" s="20">
        <v>0.89027072621017889</v>
      </c>
      <c r="D813" s="20">
        <v>0.1094785460171878</v>
      </c>
      <c r="E813" s="20">
        <v>0.68012209312836047</v>
      </c>
      <c r="F813" s="20">
        <v>5.4983219293545547E-3</v>
      </c>
      <c r="G813" s="20">
        <v>0.56928807704720441</v>
      </c>
      <c r="H813">
        <v>0.57499999999999996</v>
      </c>
    </row>
    <row r="814" spans="1:8" x14ac:dyDescent="0.25">
      <c r="A814" s="18">
        <v>-46988</v>
      </c>
      <c r="B814" s="20">
        <v>3.1283719608076827E-5</v>
      </c>
      <c r="C814" s="20">
        <v>1.2020520000343575</v>
      </c>
      <c r="D814" s="20">
        <v>-0.22250002367626029</v>
      </c>
      <c r="E814" s="20">
        <v>0.86822208974859705</v>
      </c>
      <c r="F814" s="20">
        <v>1.6881173584869923E-2</v>
      </c>
      <c r="G814" s="20">
        <v>0.82487286429758011</v>
      </c>
      <c r="H814">
        <v>0.5</v>
      </c>
    </row>
    <row r="815" spans="1:8" x14ac:dyDescent="0.25">
      <c r="A815" s="18">
        <v>-271335</v>
      </c>
      <c r="B815" s="20">
        <v>2.3679497187247718E-3</v>
      </c>
      <c r="C815" s="20">
        <v>1.1253794693963435</v>
      </c>
      <c r="D815" s="20">
        <v>-5.673154303900925E-2</v>
      </c>
      <c r="E815" s="20">
        <v>0.7234723667650903</v>
      </c>
      <c r="F815" s="20">
        <v>2.8176865004916587E-2</v>
      </c>
      <c r="G815" s="20">
        <v>0.63183143956712029</v>
      </c>
      <c r="H815">
        <v>0.55000000000000004</v>
      </c>
    </row>
    <row r="816" spans="1:8" x14ac:dyDescent="0.25">
      <c r="A816" s="18">
        <v>8311.0499999999993</v>
      </c>
      <c r="B816" s="20">
        <v>1.3289936284991959E-4</v>
      </c>
      <c r="C816" s="20">
        <v>0.98438656454523532</v>
      </c>
      <c r="D816" s="20">
        <v>1.3262010496568428E-2</v>
      </c>
      <c r="E816" s="20">
        <v>0.37876471935687223</v>
      </c>
      <c r="F816" s="20">
        <v>5.7748679152551299E-3</v>
      </c>
      <c r="G816" s="20">
        <v>-6.300285222971079E-2</v>
      </c>
      <c r="H816">
        <v>0.5</v>
      </c>
    </row>
    <row r="817" spans="1:8" x14ac:dyDescent="0.25">
      <c r="A817" s="18">
        <v>-47576</v>
      </c>
      <c r="B817" s="20">
        <v>4.5082306514370189E-4</v>
      </c>
      <c r="C817" s="20">
        <v>1.0169336543910388</v>
      </c>
      <c r="D817" s="20">
        <v>-1.5029613165000993E-2</v>
      </c>
      <c r="E817" s="20">
        <v>0.60107033023622158</v>
      </c>
      <c r="F817" s="20">
        <v>2.3551532719798932E-2</v>
      </c>
      <c r="G817" s="20">
        <v>0.11423570012003956</v>
      </c>
      <c r="H817">
        <v>0.42499999999999999</v>
      </c>
    </row>
    <row r="818" spans="1:8" x14ac:dyDescent="0.25">
      <c r="A818" s="18">
        <v>-294481</v>
      </c>
      <c r="B818" s="20">
        <v>1.4585980577289577E-3</v>
      </c>
      <c r="C818" s="20">
        <v>1.146627181301427</v>
      </c>
      <c r="D818" s="20">
        <v>-5.173266417923951E-2</v>
      </c>
      <c r="E818" s="20">
        <v>0.79088579983188489</v>
      </c>
      <c r="F818" s="20">
        <v>8.1974772857870398E-3</v>
      </c>
      <c r="G818" s="20">
        <v>0.47374230197288891</v>
      </c>
      <c r="H818">
        <v>0.55000000000000004</v>
      </c>
    </row>
    <row r="819" spans="1:8" x14ac:dyDescent="0.25">
      <c r="A819" s="18">
        <v>-674162</v>
      </c>
      <c r="B819" s="20">
        <v>1.0054733480559588E-2</v>
      </c>
      <c r="C819" s="20">
        <v>1.1205228602065112</v>
      </c>
      <c r="D819" s="20">
        <v>-0.11258736575638108</v>
      </c>
      <c r="E819" s="20">
        <v>0.90074533847554905</v>
      </c>
      <c r="F819" s="20">
        <v>6.1013366787460249E-2</v>
      </c>
      <c r="G819" s="20">
        <v>1.2176775856571953</v>
      </c>
      <c r="H819">
        <v>0.45</v>
      </c>
    </row>
    <row r="820" spans="1:8" x14ac:dyDescent="0.25">
      <c r="A820" s="18">
        <v>269963.75</v>
      </c>
      <c r="B820" s="20">
        <v>2.3825810055773898E-4</v>
      </c>
      <c r="C820" s="20">
        <v>0.88806946297053324</v>
      </c>
      <c r="D820" s="20">
        <v>7.4135030100117696E-2</v>
      </c>
      <c r="E820" s="20">
        <v>0.60903448127069371</v>
      </c>
      <c r="F820" s="20">
        <v>2.7900483150689521E-3</v>
      </c>
      <c r="G820" s="20">
        <v>1.3798492491963239</v>
      </c>
      <c r="H820">
        <v>0.42499999999999999</v>
      </c>
    </row>
    <row r="821" spans="1:8" x14ac:dyDescent="0.25">
      <c r="A821" s="18">
        <v>-40300</v>
      </c>
      <c r="B821" s="20">
        <v>4.4177932406795861E-4</v>
      </c>
      <c r="C821" s="20">
        <v>1.0434309614363575</v>
      </c>
      <c r="D821" s="20">
        <v>-3.7022814505593846E-2</v>
      </c>
      <c r="E821" s="20">
        <v>0.83576508671159322</v>
      </c>
      <c r="F821" s="20">
        <v>1.0647504221335798E-3</v>
      </c>
      <c r="G821" s="20">
        <v>1.751526207315105</v>
      </c>
      <c r="H821">
        <v>0.35</v>
      </c>
    </row>
    <row r="822" spans="1:8" x14ac:dyDescent="0.25">
      <c r="A822" s="18">
        <v>-325366</v>
      </c>
      <c r="B822" s="20">
        <v>4.0813387186565426E-3</v>
      </c>
      <c r="C822" s="20">
        <v>1.0468841176084485</v>
      </c>
      <c r="D822" s="20">
        <v>-1.9391272133629959E-2</v>
      </c>
      <c r="E822" s="20">
        <v>0.85649310545436652</v>
      </c>
      <c r="F822" s="20">
        <v>2.6235187429614363E-3</v>
      </c>
      <c r="G822" s="20">
        <v>1.4722762205662825</v>
      </c>
      <c r="H822">
        <v>0.45</v>
      </c>
    </row>
    <row r="823" spans="1:8" x14ac:dyDescent="0.25">
      <c r="A823" s="18">
        <v>-2086241</v>
      </c>
      <c r="B823" s="20">
        <v>4.9635123268833656E-3</v>
      </c>
      <c r="C823" s="20">
        <v>1.2868743969590815</v>
      </c>
      <c r="D823" s="20">
        <v>-0.239233884081065</v>
      </c>
      <c r="E823" s="20">
        <v>0.75452604897021414</v>
      </c>
      <c r="F823" s="20">
        <v>7.3003774550748652E-3</v>
      </c>
      <c r="G823" s="20">
        <v>1.0155080869045963</v>
      </c>
      <c r="H823">
        <v>0.52500000000000002</v>
      </c>
    </row>
    <row r="824" spans="1:8" x14ac:dyDescent="0.25">
      <c r="A824" s="18">
        <v>-592346</v>
      </c>
      <c r="B824" s="20">
        <v>8.0899168855870247E-4</v>
      </c>
      <c r="C824" s="20">
        <v>1.1709515775110177</v>
      </c>
      <c r="D824" s="20">
        <v>-0.15189161273646762</v>
      </c>
      <c r="E824" s="20">
        <v>0.40435419150811341</v>
      </c>
      <c r="F824" s="20">
        <v>1.3553792841365467E-2</v>
      </c>
      <c r="G824" s="20">
        <v>0.49233852282648105</v>
      </c>
      <c r="H824">
        <v>0.35</v>
      </c>
    </row>
    <row r="825" spans="1:8" x14ac:dyDescent="0.25">
      <c r="A825" s="18">
        <v>453970</v>
      </c>
      <c r="B825" s="20">
        <v>1.927918221899718E-4</v>
      </c>
      <c r="C825" s="20">
        <v>0.85138234948906455</v>
      </c>
      <c r="D825" s="20">
        <v>0.23557904121296974</v>
      </c>
      <c r="E825" s="20">
        <v>0.35168410755804402</v>
      </c>
      <c r="F825" s="20">
        <v>5.0180613884825368E-3</v>
      </c>
      <c r="G825" s="20">
        <v>0.99124007475375209</v>
      </c>
      <c r="H825">
        <v>0.5</v>
      </c>
    </row>
    <row r="826" spans="1:8" x14ac:dyDescent="0.25">
      <c r="A826" s="18">
        <v>569718.75</v>
      </c>
      <c r="B826" s="20">
        <v>1.3049012988220498E-3</v>
      </c>
      <c r="C826" s="20">
        <v>0.91097132307994488</v>
      </c>
      <c r="D826" s="20">
        <v>6.9471533765627078E-2</v>
      </c>
      <c r="E826" s="20">
        <v>0.82581367925715798</v>
      </c>
      <c r="F826" s="20">
        <v>3.1922564165159997E-2</v>
      </c>
      <c r="G826" s="20">
        <v>1.3303080442130919</v>
      </c>
      <c r="H826">
        <v>0.55000000000000004</v>
      </c>
    </row>
    <row r="827" spans="1:8" x14ac:dyDescent="0.25">
      <c r="A827" s="18">
        <v>-1678229</v>
      </c>
      <c r="B827" s="20">
        <v>8.2405899508696014E-3</v>
      </c>
      <c r="C827" s="20">
        <v>1.231726333262273</v>
      </c>
      <c r="D827" s="20">
        <v>-0.1948519658031537</v>
      </c>
      <c r="E827" s="20">
        <v>0.48614950685648278</v>
      </c>
      <c r="F827" s="20">
        <v>7.359720213109705E-2</v>
      </c>
      <c r="G827" s="20">
        <v>1.3920682009661234</v>
      </c>
      <c r="H827">
        <v>0.3</v>
      </c>
    </row>
    <row r="828" spans="1:8" x14ac:dyDescent="0.25">
      <c r="A828" s="18">
        <v>-31201</v>
      </c>
      <c r="B828" s="20">
        <v>1.5382510514954522E-4</v>
      </c>
      <c r="C828" s="20">
        <v>1.0556064242667229</v>
      </c>
      <c r="D828" s="20">
        <v>-2.960036050565662E-2</v>
      </c>
      <c r="E828" s="20">
        <v>0.52620189139646245</v>
      </c>
      <c r="F828" s="20">
        <v>3.5101866565472098E-5</v>
      </c>
      <c r="G828" s="20">
        <v>1.1346602628080293</v>
      </c>
      <c r="H828">
        <v>0.32500000000000001</v>
      </c>
    </row>
    <row r="829" spans="1:8" x14ac:dyDescent="0.25">
      <c r="A829" s="18">
        <v>285281.25</v>
      </c>
      <c r="B829" s="20">
        <v>3.2220361387437193E-4</v>
      </c>
      <c r="C829" s="20">
        <v>0.90810738366320398</v>
      </c>
      <c r="D829" s="20">
        <v>9.2149303311294214E-2</v>
      </c>
      <c r="E829" s="20">
        <v>0.53922585169255133</v>
      </c>
      <c r="F829" s="20">
        <v>5.3563485933952416E-2</v>
      </c>
      <c r="G829" s="20">
        <v>0.55489047734181307</v>
      </c>
      <c r="H829">
        <v>0.52500000000000002</v>
      </c>
    </row>
    <row r="830" spans="1:8" x14ac:dyDescent="0.25">
      <c r="A830" s="18">
        <v>-1045090</v>
      </c>
      <c r="B830" s="20">
        <v>1.3071391955634011E-2</v>
      </c>
      <c r="C830" s="20">
        <v>1.121918538050336</v>
      </c>
      <c r="D830" s="20">
        <v>-7.798023949437341E-2</v>
      </c>
      <c r="E830" s="20">
        <v>0.8548169967557484</v>
      </c>
      <c r="F830" s="20">
        <v>5.2605043208151625E-2</v>
      </c>
      <c r="G830" s="20">
        <v>1.1173069703105936</v>
      </c>
      <c r="H830">
        <v>0.45</v>
      </c>
    </row>
    <row r="831" spans="1:8" x14ac:dyDescent="0.25">
      <c r="A831" s="18">
        <v>-669806</v>
      </c>
      <c r="B831" s="20">
        <v>3.0361838805369836E-3</v>
      </c>
      <c r="C831" s="20">
        <v>1.197509329452352</v>
      </c>
      <c r="D831" s="20">
        <v>-0.15738592266259444</v>
      </c>
      <c r="E831" s="20">
        <v>0.58327119138618733</v>
      </c>
      <c r="F831" s="20">
        <v>7.632279474291552E-2</v>
      </c>
      <c r="G831" s="20">
        <v>0.71856794443204897</v>
      </c>
      <c r="H831">
        <v>0.47499999999999998</v>
      </c>
    </row>
    <row r="832" spans="1:8" x14ac:dyDescent="0.25">
      <c r="A832" s="18">
        <v>1790028.75</v>
      </c>
      <c r="B832" s="20">
        <v>2.1934665940996768E-3</v>
      </c>
      <c r="C832" s="20">
        <v>0.83631671005304775</v>
      </c>
      <c r="D832" s="20">
        <v>0.21328002490689404</v>
      </c>
      <c r="E832" s="20">
        <v>0.44530480872126793</v>
      </c>
      <c r="F832" s="20">
        <v>3.2921566517813895E-2</v>
      </c>
      <c r="G832" s="20">
        <v>0.89031039905717035</v>
      </c>
      <c r="H832">
        <v>0.55000000000000004</v>
      </c>
    </row>
    <row r="833" spans="1:8" x14ac:dyDescent="0.25">
      <c r="A833" s="18">
        <v>-38429</v>
      </c>
      <c r="B833" s="20">
        <v>1.7550198522288895E-4</v>
      </c>
      <c r="C833" s="20">
        <v>1.2300918927997313</v>
      </c>
      <c r="D833" s="20">
        <v>-0.19598433308513785</v>
      </c>
      <c r="E833" s="20">
        <v>0.54111140853660222</v>
      </c>
      <c r="F833" s="20">
        <v>9.8163013433155519E-2</v>
      </c>
      <c r="G833" s="20">
        <v>1.4946596071493692</v>
      </c>
      <c r="H833">
        <v>0.22500000000000001</v>
      </c>
    </row>
    <row r="834" spans="1:8" x14ac:dyDescent="0.25">
      <c r="A834" s="18">
        <v>-229564</v>
      </c>
      <c r="B834" s="20">
        <v>1.2292544280122139E-3</v>
      </c>
      <c r="C834" s="20">
        <v>1.0349546679548072</v>
      </c>
      <c r="D834" s="20">
        <v>-4.5706535546386269E-2</v>
      </c>
      <c r="E834" s="20">
        <v>0.46094786560225548</v>
      </c>
      <c r="F834" s="20">
        <v>0.1397503346896127</v>
      </c>
      <c r="G834" s="20">
        <v>3.1124792565442227</v>
      </c>
      <c r="H834">
        <v>0.2</v>
      </c>
    </row>
    <row r="835" spans="1:8" x14ac:dyDescent="0.25">
      <c r="A835" s="18">
        <v>396447.5</v>
      </c>
      <c r="B835" s="20">
        <v>5.4785745415025387E-4</v>
      </c>
      <c r="C835" s="20">
        <v>0.89745152588995036</v>
      </c>
      <c r="D835" s="20">
        <v>0.1424166473878801</v>
      </c>
      <c r="E835" s="20">
        <v>0.80551696518301197</v>
      </c>
      <c r="F835" s="20">
        <v>1.2447031234508119E-2</v>
      </c>
      <c r="G835" s="20">
        <v>1.0951759054025132</v>
      </c>
      <c r="H835">
        <v>0.57499999999999996</v>
      </c>
    </row>
    <row r="836" spans="1:8" x14ac:dyDescent="0.25">
      <c r="A836" s="18">
        <v>638655</v>
      </c>
      <c r="B836" s="20">
        <v>3.0095018306512625E-3</v>
      </c>
      <c r="C836" s="20">
        <v>0.89268463188119629</v>
      </c>
      <c r="D836" s="20">
        <v>0.13396009063027137</v>
      </c>
      <c r="E836" s="20">
        <v>0.77470600183621896</v>
      </c>
      <c r="F836" s="20">
        <v>7.330044119541009E-3</v>
      </c>
      <c r="G836" s="20">
        <v>0.38586834056382846</v>
      </c>
      <c r="H836">
        <v>0.75</v>
      </c>
    </row>
    <row r="837" spans="1:8" x14ac:dyDescent="0.25">
      <c r="A837" s="18">
        <v>-1317029</v>
      </c>
      <c r="B837" s="20">
        <v>1.6846208962122814E-3</v>
      </c>
      <c r="C837" s="20">
        <v>1.2359601628971764</v>
      </c>
      <c r="D837" s="20">
        <v>-0.16486138867313288</v>
      </c>
      <c r="E837" s="20">
        <v>0.83806407498186175</v>
      </c>
      <c r="F837" s="20">
        <v>1.7479553945226416E-2</v>
      </c>
      <c r="G837" s="20">
        <v>1.2215322587001944</v>
      </c>
      <c r="H837">
        <v>0.4</v>
      </c>
    </row>
    <row r="838" spans="1:8" x14ac:dyDescent="0.25">
      <c r="A838" s="18">
        <v>-372243</v>
      </c>
      <c r="B838" s="20">
        <v>9.8183807266158732E-3</v>
      </c>
      <c r="C838" s="20">
        <v>1.0493205413274038</v>
      </c>
      <c r="D838" s="20">
        <v>-6.2207412856596388E-2</v>
      </c>
      <c r="E838" s="20">
        <v>0.90780568025110708</v>
      </c>
      <c r="F838" s="20">
        <v>7.6949802478349823E-3</v>
      </c>
      <c r="G838" s="20">
        <v>2.8251787571206544</v>
      </c>
      <c r="H838">
        <v>0.5</v>
      </c>
    </row>
    <row r="839" spans="1:8" x14ac:dyDescent="0.25">
      <c r="A839" s="18">
        <v>752258.75</v>
      </c>
      <c r="B839" s="20">
        <v>8.8925066956865027E-4</v>
      </c>
      <c r="C839" s="20">
        <v>0.85622780669811338</v>
      </c>
      <c r="D839" s="20">
        <v>0.13171680017957751</v>
      </c>
      <c r="E839" s="20">
        <v>0.86075454300612997</v>
      </c>
      <c r="F839" s="20">
        <v>2.3423693479967284E-2</v>
      </c>
      <c r="G839" s="20">
        <v>0.75803201172652857</v>
      </c>
      <c r="H839">
        <v>0.65</v>
      </c>
    </row>
    <row r="840" spans="1:8" x14ac:dyDescent="0.25">
      <c r="A840" s="18">
        <v>1636773.75</v>
      </c>
      <c r="B840" s="20">
        <v>9.9786368845384849E-4</v>
      </c>
      <c r="C840" s="20">
        <v>0.86131881025650592</v>
      </c>
      <c r="D840" s="20">
        <v>0.13663199974756732</v>
      </c>
      <c r="E840" s="20">
        <v>0.62489342923137592</v>
      </c>
      <c r="F840" s="20">
        <v>9.7441180850644672E-3</v>
      </c>
      <c r="G840" s="20">
        <v>1.1382332724810054</v>
      </c>
      <c r="H840">
        <v>0.42499999999999999</v>
      </c>
    </row>
    <row r="841" spans="1:8" x14ac:dyDescent="0.25">
      <c r="A841" s="18">
        <v>76762.5</v>
      </c>
      <c r="B841" s="20">
        <v>2.1735757787885767E-4</v>
      </c>
      <c r="C841" s="20">
        <v>0.93903748165249301</v>
      </c>
      <c r="D841" s="20">
        <v>3.6766801368508122E-2</v>
      </c>
      <c r="E841" s="20">
        <v>0.9389094405364834</v>
      </c>
      <c r="F841" s="20">
        <v>2.3512552081811611E-3</v>
      </c>
      <c r="G841" s="20">
        <v>0.29792176057580105</v>
      </c>
      <c r="H841">
        <v>0.65</v>
      </c>
    </row>
    <row r="842" spans="1:8" x14ac:dyDescent="0.25">
      <c r="A842" s="18">
        <v>1064981.25</v>
      </c>
      <c r="B842" s="20">
        <v>1.5825179904777184E-3</v>
      </c>
      <c r="C842" s="20">
        <v>0.8475272166297444</v>
      </c>
      <c r="D842" s="20">
        <v>0.11430114406190273</v>
      </c>
      <c r="E842" s="20">
        <v>0.71682258053968673</v>
      </c>
      <c r="F842" s="20">
        <v>4.0206698744532768E-2</v>
      </c>
      <c r="G842" s="20">
        <v>1.0733341965145755</v>
      </c>
      <c r="H842">
        <v>0.625</v>
      </c>
    </row>
    <row r="843" spans="1:8" x14ac:dyDescent="0.25">
      <c r="A843" s="18">
        <v>-1546063</v>
      </c>
      <c r="B843" s="20">
        <v>8.0219228738564862E-3</v>
      </c>
      <c r="C843" s="20">
        <v>1.2195513149553328</v>
      </c>
      <c r="D843" s="20">
        <v>-6.4962434460889854E-2</v>
      </c>
      <c r="E843" s="20">
        <v>0.80190634605875</v>
      </c>
      <c r="F843" s="20">
        <v>7.4464673157519203E-3</v>
      </c>
      <c r="G843" s="20">
        <v>0.51260890014422511</v>
      </c>
      <c r="H843">
        <v>0.65</v>
      </c>
    </row>
    <row r="844" spans="1:8" x14ac:dyDescent="0.25">
      <c r="A844" s="18">
        <v>-950533</v>
      </c>
      <c r="B844" s="20">
        <v>1.4637399093674066E-2</v>
      </c>
      <c r="C844" s="20">
        <v>1.1047424532015693</v>
      </c>
      <c r="D844" s="20">
        <v>-0.17356143925551393</v>
      </c>
      <c r="E844" s="20">
        <v>0.60561968720661108</v>
      </c>
      <c r="F844" s="20">
        <v>3.3222578016399482E-2</v>
      </c>
      <c r="G844" s="20">
        <v>1.4720298573241133</v>
      </c>
      <c r="H844">
        <v>0.42499999999999999</v>
      </c>
    </row>
    <row r="845" spans="1:8" x14ac:dyDescent="0.25">
      <c r="A845" s="18">
        <v>725888.75</v>
      </c>
      <c r="B845" s="20">
        <v>2.219714948833279E-4</v>
      </c>
      <c r="C845" s="20">
        <v>0.78946168362032587</v>
      </c>
      <c r="D845" s="20">
        <v>0.31628877582277098</v>
      </c>
      <c r="E845" s="20">
        <v>0.50145464342063084</v>
      </c>
      <c r="F845" s="20">
        <v>4.5119452170112751E-3</v>
      </c>
      <c r="G845" s="20">
        <v>0.96041445300780992</v>
      </c>
      <c r="H845">
        <v>0.57499999999999996</v>
      </c>
    </row>
    <row r="846" spans="1:8" x14ac:dyDescent="0.25">
      <c r="A846" s="18">
        <v>-908019</v>
      </c>
      <c r="B846" s="20">
        <v>1.483457456454881E-2</v>
      </c>
      <c r="C846" s="20">
        <v>1.1473683495095042</v>
      </c>
      <c r="D846" s="20">
        <v>-0.11889206436954022</v>
      </c>
      <c r="E846" s="20">
        <v>0.61579922143598942</v>
      </c>
      <c r="F846" s="20">
        <v>1.4371235845364465E-2</v>
      </c>
      <c r="G846" s="20">
        <v>0.88544589617846237</v>
      </c>
      <c r="H846">
        <v>0.57499999999999996</v>
      </c>
    </row>
    <row r="847" spans="1:8" x14ac:dyDescent="0.25">
      <c r="A847" s="18">
        <v>-367202</v>
      </c>
      <c r="B847" s="20">
        <v>1.3017985559300377E-3</v>
      </c>
      <c r="C847" s="20">
        <v>1.0546701319532037</v>
      </c>
      <c r="D847" s="20">
        <v>-3.7737183121664034E-2</v>
      </c>
      <c r="E847" s="20">
        <v>0.88962506413559483</v>
      </c>
      <c r="F847" s="20">
        <v>4.8339711725255072E-3</v>
      </c>
      <c r="G847" s="20">
        <v>1.7601106885530087</v>
      </c>
      <c r="H847">
        <v>0.4</v>
      </c>
    </row>
    <row r="848" spans="1:8" x14ac:dyDescent="0.25">
      <c r="A848" s="18">
        <v>155322.5</v>
      </c>
      <c r="B848" s="20">
        <v>2.7153030056202413E-4</v>
      </c>
      <c r="C848" s="20">
        <v>0.9025915267599508</v>
      </c>
      <c r="D848" s="20">
        <v>0.17358096049118643</v>
      </c>
      <c r="E848" s="20">
        <v>0.65129649645715282</v>
      </c>
      <c r="F848" s="20">
        <v>4.9997038487371102E-2</v>
      </c>
      <c r="G848" s="20">
        <v>1.0201324567425283</v>
      </c>
      <c r="H848">
        <v>0.5</v>
      </c>
    </row>
    <row r="849" spans="1:8" x14ac:dyDescent="0.25">
      <c r="A849" s="18">
        <v>85318.75</v>
      </c>
      <c r="B849" s="20">
        <v>1.2552596297022497E-4</v>
      </c>
      <c r="C849" s="20">
        <v>0.93983885028181791</v>
      </c>
      <c r="D849" s="20">
        <v>6.8512607403838438E-2</v>
      </c>
      <c r="E849" s="20">
        <v>0.54945030702240116</v>
      </c>
      <c r="F849" s="20">
        <v>1.2133622420300329E-3</v>
      </c>
      <c r="G849" s="20">
        <v>1.0133328095924661</v>
      </c>
      <c r="H849">
        <v>0.5</v>
      </c>
    </row>
    <row r="850" spans="1:8" x14ac:dyDescent="0.25">
      <c r="A850" s="18">
        <v>23872.85</v>
      </c>
      <c r="B850" s="20">
        <v>1.4349627309383166E-4</v>
      </c>
      <c r="C850" s="20">
        <v>0.95897505417666207</v>
      </c>
      <c r="D850" s="20">
        <v>3.3433163363195975E-2</v>
      </c>
      <c r="E850" s="20">
        <v>0.78576105412700981</v>
      </c>
      <c r="F850" s="20">
        <v>3.6678257873781418E-3</v>
      </c>
      <c r="G850" s="20">
        <v>1.3490388384451411</v>
      </c>
      <c r="H850">
        <v>0.5</v>
      </c>
    </row>
    <row r="851" spans="1:8" x14ac:dyDescent="0.25">
      <c r="A851" s="18">
        <v>-1093949</v>
      </c>
      <c r="B851" s="20">
        <v>4.5286442554019705E-3</v>
      </c>
      <c r="C851" s="20">
        <v>1.1183344322831681</v>
      </c>
      <c r="D851" s="20">
        <v>-6.2007417657225609E-2</v>
      </c>
      <c r="E851" s="20">
        <v>0.72419588798170131</v>
      </c>
      <c r="F851" s="20">
        <v>2.1996541479908319E-2</v>
      </c>
      <c r="G851" s="20">
        <v>1.7477085778079413</v>
      </c>
      <c r="H851">
        <v>0.45</v>
      </c>
    </row>
    <row r="852" spans="1:8" x14ac:dyDescent="0.25">
      <c r="A852" s="18">
        <v>-69916</v>
      </c>
      <c r="B852" s="20">
        <v>5.9391349511824519E-5</v>
      </c>
      <c r="C852" s="20">
        <v>1.1949166942913094</v>
      </c>
      <c r="D852" s="20">
        <v>-0.1684049271857522</v>
      </c>
      <c r="E852" s="20">
        <v>0.94475721483153641</v>
      </c>
      <c r="F852" s="20">
        <v>6.3119330581020608E-2</v>
      </c>
      <c r="G852" s="20">
        <v>1.3505705456706103</v>
      </c>
      <c r="H852">
        <v>0.3</v>
      </c>
    </row>
    <row r="853" spans="1:8" x14ac:dyDescent="0.25">
      <c r="A853" s="18">
        <v>-678401</v>
      </c>
      <c r="B853" s="20">
        <v>1.1287977334406049E-3</v>
      </c>
      <c r="C853" s="20">
        <v>1.0888070654781359</v>
      </c>
      <c r="D853" s="20">
        <v>-9.1115071423285426E-2</v>
      </c>
      <c r="E853" s="20">
        <v>0.60632078301148273</v>
      </c>
      <c r="F853" s="20">
        <v>1.445966115826909E-3</v>
      </c>
      <c r="G853" s="20">
        <v>0.95097388580568198</v>
      </c>
      <c r="H853">
        <v>0.47499999999999998</v>
      </c>
    </row>
    <row r="854" spans="1:8" x14ac:dyDescent="0.25">
      <c r="A854" s="18">
        <v>-151276</v>
      </c>
      <c r="B854" s="20">
        <v>2.3926514789576101E-3</v>
      </c>
      <c r="C854" s="20">
        <v>1.0291769684093195</v>
      </c>
      <c r="D854" s="20">
        <v>-1.3278152525487476E-2</v>
      </c>
      <c r="E854" s="20">
        <v>0.58556022270392794</v>
      </c>
      <c r="F854" s="20">
        <v>1.0115203833983595E-2</v>
      </c>
      <c r="G854" s="20">
        <v>0.59573714271304501</v>
      </c>
      <c r="H854">
        <v>0.47499999999999998</v>
      </c>
    </row>
    <row r="855" spans="1:8" x14ac:dyDescent="0.25">
      <c r="A855" s="18">
        <v>45669.95</v>
      </c>
      <c r="B855" s="20">
        <v>1.8142364446198853E-3</v>
      </c>
      <c r="C855" s="20">
        <v>0.98682048272819856</v>
      </c>
      <c r="D855" s="20">
        <v>9.0564432986113101E-3</v>
      </c>
      <c r="E855" s="20">
        <v>0.82890355646180003</v>
      </c>
      <c r="F855" s="20">
        <v>4.7780276603554404E-2</v>
      </c>
      <c r="G855" s="20">
        <v>-1.1006235511223627E-2</v>
      </c>
      <c r="H855">
        <v>0.7</v>
      </c>
    </row>
    <row r="856" spans="1:8" x14ac:dyDescent="0.25">
      <c r="A856" s="18">
        <v>570155</v>
      </c>
      <c r="B856" s="20">
        <v>8.2828942045785996E-3</v>
      </c>
      <c r="C856" s="20">
        <v>0.95230509480863523</v>
      </c>
      <c r="D856" s="20">
        <v>2.3268264927859827E-2</v>
      </c>
      <c r="E856" s="20">
        <v>0.91371429879742028</v>
      </c>
      <c r="F856" s="20">
        <v>7.9684385272237746E-3</v>
      </c>
      <c r="G856" s="20">
        <v>0.42004983012054475</v>
      </c>
      <c r="H856">
        <v>0.8</v>
      </c>
    </row>
    <row r="857" spans="1:8" x14ac:dyDescent="0.25">
      <c r="A857" s="18">
        <v>-994636</v>
      </c>
      <c r="B857" s="20">
        <v>5.2461136881809724E-3</v>
      </c>
      <c r="C857" s="20">
        <v>1.2574997002766797</v>
      </c>
      <c r="D857" s="20">
        <v>-0.15769592803770485</v>
      </c>
      <c r="E857" s="20">
        <v>0.72739179543316312</v>
      </c>
      <c r="F857" s="20">
        <v>2.3036787672956255E-4</v>
      </c>
      <c r="G857" s="20">
        <v>0.55056465338554783</v>
      </c>
      <c r="H857">
        <v>0.7</v>
      </c>
    </row>
    <row r="858" spans="1:8" x14ac:dyDescent="0.25">
      <c r="A858" s="18">
        <v>-41296</v>
      </c>
      <c r="B858" s="20">
        <v>7.2255211420386249E-5</v>
      </c>
      <c r="C858" s="20">
        <v>1.0887493856010761</v>
      </c>
      <c r="D858" s="20">
        <v>-7.9163887035801642E-2</v>
      </c>
      <c r="E858" s="20">
        <v>0.74498832501445988</v>
      </c>
      <c r="F858" s="20">
        <v>3.2981757953578245E-2</v>
      </c>
      <c r="G858" s="20">
        <v>1.662945104039363</v>
      </c>
      <c r="H858">
        <v>0.35</v>
      </c>
    </row>
    <row r="859" spans="1:8" x14ac:dyDescent="0.25">
      <c r="A859" s="18">
        <v>-334809</v>
      </c>
      <c r="B859" s="20">
        <v>9.2421608089633556E-3</v>
      </c>
      <c r="C859" s="20">
        <v>1.0700560292387664</v>
      </c>
      <c r="D859" s="20">
        <v>-6.8090924565703231E-2</v>
      </c>
      <c r="E859" s="20">
        <v>0.90965746091844368</v>
      </c>
      <c r="F859" s="20">
        <v>7.1733528408181512E-3</v>
      </c>
      <c r="G859" s="20">
        <v>1.360148681384596</v>
      </c>
      <c r="H859">
        <v>0.5</v>
      </c>
    </row>
    <row r="860" spans="1:8" x14ac:dyDescent="0.25">
      <c r="A860" s="18">
        <v>-362293</v>
      </c>
      <c r="B860" s="20">
        <v>7.7935607994257241E-3</v>
      </c>
      <c r="C860" s="20">
        <v>1.146853149682602</v>
      </c>
      <c r="D860" s="20">
        <v>-7.5430564230689154E-2</v>
      </c>
      <c r="E860" s="20">
        <v>0.59987964937952487</v>
      </c>
      <c r="F860" s="20">
        <v>1.6874661669789716E-2</v>
      </c>
      <c r="G860" s="20">
        <v>1.0432418853513068</v>
      </c>
      <c r="H860">
        <v>0.5</v>
      </c>
    </row>
    <row r="861" spans="1:8" x14ac:dyDescent="0.25">
      <c r="A861" s="18">
        <v>343933.75</v>
      </c>
      <c r="B861" s="20">
        <v>1.33565109765395E-3</v>
      </c>
      <c r="C861" s="20">
        <v>0.93281048044722681</v>
      </c>
      <c r="D861" s="20">
        <v>9.4988672352170955E-2</v>
      </c>
      <c r="E861" s="20">
        <v>0.81636004204467716</v>
      </c>
      <c r="F861" s="20">
        <v>1.4847600811646749E-3</v>
      </c>
      <c r="G861" s="20">
        <v>0.65501106611881377</v>
      </c>
      <c r="H861">
        <v>0.7</v>
      </c>
    </row>
    <row r="862" spans="1:8" x14ac:dyDescent="0.25">
      <c r="A862" s="18">
        <v>-1465214</v>
      </c>
      <c r="B862" s="20">
        <v>6.0189826494846665E-3</v>
      </c>
      <c r="C862" s="20">
        <v>1.2315842326248154</v>
      </c>
      <c r="D862" s="20">
        <v>-0.13737548941660041</v>
      </c>
      <c r="E862" s="20">
        <v>0.55411199995345062</v>
      </c>
      <c r="F862" s="20">
        <v>1.8964049444202758E-2</v>
      </c>
      <c r="G862" s="20">
        <v>1.7704496719018215</v>
      </c>
      <c r="H862">
        <v>0.42499999999999999</v>
      </c>
    </row>
    <row r="863" spans="1:8" x14ac:dyDescent="0.25">
      <c r="A863" s="18">
        <v>261471.25</v>
      </c>
      <c r="B863" s="20">
        <v>2.3279457156583951E-3</v>
      </c>
      <c r="C863" s="20">
        <v>0.94775131085243891</v>
      </c>
      <c r="D863" s="20">
        <v>8.207260347542715E-2</v>
      </c>
      <c r="E863" s="20">
        <v>0.78219023371037</v>
      </c>
      <c r="F863" s="20">
        <v>7.9180991715562518E-2</v>
      </c>
      <c r="G863" s="20">
        <v>0.37360918903439549</v>
      </c>
      <c r="H863">
        <v>0.65</v>
      </c>
    </row>
    <row r="864" spans="1:8" x14ac:dyDescent="0.25">
      <c r="A864" s="18">
        <v>1124435</v>
      </c>
      <c r="B864" s="20">
        <v>3.1054016117800496E-3</v>
      </c>
      <c r="C864" s="20">
        <v>0.88613311096528202</v>
      </c>
      <c r="D864" s="20">
        <v>8.861459289702539E-2</v>
      </c>
      <c r="E864" s="20">
        <v>0.69106360091024632</v>
      </c>
      <c r="F864" s="20">
        <v>4.8716334162131919E-2</v>
      </c>
      <c r="G864" s="20">
        <v>0.49260984614375092</v>
      </c>
      <c r="H864">
        <v>0.67500000000000004</v>
      </c>
    </row>
    <row r="865" spans="1:8" x14ac:dyDescent="0.25">
      <c r="A865" s="18">
        <v>74020</v>
      </c>
      <c r="B865" s="20">
        <v>8.5296148012580902E-5</v>
      </c>
      <c r="C865" s="20">
        <v>0.85616825251511997</v>
      </c>
      <c r="D865" s="20">
        <v>0.18642300543502899</v>
      </c>
      <c r="E865" s="20">
        <v>0.34415944636870155</v>
      </c>
      <c r="F865" s="20">
        <v>4.6933162743606663E-2</v>
      </c>
      <c r="G865" s="20">
        <v>0.5445070722652382</v>
      </c>
      <c r="H865">
        <v>0.5</v>
      </c>
    </row>
    <row r="866" spans="1:8" x14ac:dyDescent="0.25">
      <c r="A866" s="18">
        <v>328706.25</v>
      </c>
      <c r="B866" s="20">
        <v>4.1509617614986927E-4</v>
      </c>
      <c r="C866" s="20">
        <v>0.88244247710255763</v>
      </c>
      <c r="D866" s="20">
        <v>0.18627140139505391</v>
      </c>
      <c r="E866" s="20">
        <v>0.58897036662980862</v>
      </c>
      <c r="F866" s="20">
        <v>2.2884256087422925E-2</v>
      </c>
      <c r="G866" s="20">
        <v>0.43802965823144768</v>
      </c>
      <c r="H866">
        <v>0.57499999999999996</v>
      </c>
    </row>
    <row r="867" spans="1:8" x14ac:dyDescent="0.25">
      <c r="A867" s="18">
        <v>-956411</v>
      </c>
      <c r="B867" s="20">
        <v>4.6634997826789352E-4</v>
      </c>
      <c r="C867" s="20">
        <v>1.2333325781675732</v>
      </c>
      <c r="D867" s="20">
        <v>-0.29628547663340049</v>
      </c>
      <c r="E867" s="20">
        <v>0.75999463201649009</v>
      </c>
      <c r="F867" s="20">
        <v>2.9196671008873902E-2</v>
      </c>
      <c r="G867" s="20">
        <v>1.2833208434522361</v>
      </c>
      <c r="H867">
        <v>0.35</v>
      </c>
    </row>
    <row r="868" spans="1:8" x14ac:dyDescent="0.25">
      <c r="A868" s="18">
        <v>1628696.25</v>
      </c>
      <c r="B868" s="20">
        <v>1.977230617431062E-3</v>
      </c>
      <c r="C868" s="20">
        <v>0.86022618292783826</v>
      </c>
      <c r="D868" s="20">
        <v>0.17428212389050987</v>
      </c>
      <c r="E868" s="20">
        <v>0.56975617625427744</v>
      </c>
      <c r="F868" s="20">
        <v>4.5468402878877231E-3</v>
      </c>
      <c r="G868" s="20">
        <v>0.51224843113165985</v>
      </c>
      <c r="H868">
        <v>0.625</v>
      </c>
    </row>
    <row r="869" spans="1:8" x14ac:dyDescent="0.25">
      <c r="A869" s="18">
        <v>-742258</v>
      </c>
      <c r="B869" s="20">
        <v>3.0982767141441987E-3</v>
      </c>
      <c r="C869" s="20">
        <v>1.1290646080500579</v>
      </c>
      <c r="D869" s="20">
        <v>-0.12014582122041265</v>
      </c>
      <c r="E869" s="20">
        <v>0.52867296067763503</v>
      </c>
      <c r="F869" s="20">
        <v>6.8394568059183137E-3</v>
      </c>
      <c r="G869" s="20">
        <v>0.6235993132196741</v>
      </c>
      <c r="H869">
        <v>0.52500000000000002</v>
      </c>
    </row>
    <row r="870" spans="1:8" x14ac:dyDescent="0.25">
      <c r="A870" s="18">
        <v>-379025</v>
      </c>
      <c r="B870" s="20">
        <v>8.7301575919246973E-4</v>
      </c>
      <c r="C870" s="20">
        <v>1.0869253285028322</v>
      </c>
      <c r="D870" s="20">
        <v>-4.1178201198413041E-2</v>
      </c>
      <c r="E870" s="20">
        <v>0.88483790927872275</v>
      </c>
      <c r="F870" s="20">
        <v>1.4102657980775937E-2</v>
      </c>
      <c r="G870" s="20">
        <v>1.0640462568488112</v>
      </c>
      <c r="H870">
        <v>0.42499999999999999</v>
      </c>
    </row>
    <row r="871" spans="1:8" x14ac:dyDescent="0.25">
      <c r="A871" s="18">
        <v>-407136</v>
      </c>
      <c r="B871" s="20">
        <v>1.296624105903561E-3</v>
      </c>
      <c r="C871" s="20">
        <v>1.0572728009295054</v>
      </c>
      <c r="D871" s="20">
        <v>-6.1647071364370871E-2</v>
      </c>
      <c r="E871" s="20">
        <v>0.51142835659164332</v>
      </c>
      <c r="F871" s="20">
        <v>2.7535074097134234E-3</v>
      </c>
      <c r="G871" s="20">
        <v>2.3175538352377787</v>
      </c>
      <c r="H871">
        <v>0.32500000000000001</v>
      </c>
    </row>
    <row r="872" spans="1:8" x14ac:dyDescent="0.25">
      <c r="A872" s="18">
        <v>586207.5</v>
      </c>
      <c r="B872" s="20">
        <v>3.3713429994527903E-3</v>
      </c>
      <c r="C872" s="20">
        <v>0.94492682854384791</v>
      </c>
      <c r="D872" s="20">
        <v>3.0678086946928845E-2</v>
      </c>
      <c r="E872" s="20">
        <v>0.67578440392247763</v>
      </c>
      <c r="F872" s="20">
        <v>1.1854034880883987E-2</v>
      </c>
      <c r="G872" s="20">
        <v>0.94420550465117925</v>
      </c>
      <c r="H872">
        <v>0.67500000000000004</v>
      </c>
    </row>
    <row r="873" spans="1:8" x14ac:dyDescent="0.25">
      <c r="A873" s="18">
        <v>-5708</v>
      </c>
      <c r="B873" s="20">
        <v>3.4153139822051142E-4</v>
      </c>
      <c r="C873" s="20">
        <v>1.0033495777743859</v>
      </c>
      <c r="D873" s="20">
        <v>-2.2802457136533905E-3</v>
      </c>
      <c r="E873" s="20">
        <v>0.77927682668178377</v>
      </c>
      <c r="F873" s="20">
        <v>2.8300933310802523E-2</v>
      </c>
      <c r="G873" s="20">
        <v>12.442665109574552</v>
      </c>
      <c r="H873">
        <v>0.35</v>
      </c>
    </row>
    <row r="874" spans="1:8" x14ac:dyDescent="0.25">
      <c r="A874" s="18">
        <v>-1581911</v>
      </c>
      <c r="B874" s="20">
        <v>1.603579674829076E-3</v>
      </c>
      <c r="C874" s="20">
        <v>1.1694853144368773</v>
      </c>
      <c r="D874" s="20">
        <v>-0.1781474238230516</v>
      </c>
      <c r="E874" s="20">
        <v>0.96981212276894146</v>
      </c>
      <c r="F874" s="20">
        <v>2.4816926894409393E-2</v>
      </c>
      <c r="G874" s="20">
        <v>0.93107619978169065</v>
      </c>
      <c r="H874">
        <v>0.55000000000000004</v>
      </c>
    </row>
    <row r="875" spans="1:8" x14ac:dyDescent="0.25">
      <c r="A875" s="18">
        <v>199975</v>
      </c>
      <c r="B875" s="20">
        <v>8.1731950640844247E-4</v>
      </c>
      <c r="C875" s="20">
        <v>0.97473301539424617</v>
      </c>
      <c r="D875" s="20">
        <v>1.9484832620440332E-2</v>
      </c>
      <c r="E875" s="20">
        <v>0.44582469683119069</v>
      </c>
      <c r="F875" s="20">
        <v>2.0441754941557193E-2</v>
      </c>
      <c r="G875" s="20">
        <v>-1.7809167764397054</v>
      </c>
      <c r="H875">
        <v>0.5</v>
      </c>
    </row>
    <row r="876" spans="1:8" x14ac:dyDescent="0.25">
      <c r="A876" s="18">
        <v>-1602772</v>
      </c>
      <c r="B876" s="20">
        <v>5.1327234217538292E-4</v>
      </c>
      <c r="C876" s="20">
        <v>1.2136997230963222</v>
      </c>
      <c r="D876" s="20">
        <v>-0.23526351720992675</v>
      </c>
      <c r="E876" s="20">
        <v>0.32369214474369151</v>
      </c>
      <c r="F876" s="20">
        <v>2.6352821883118608E-2</v>
      </c>
      <c r="G876" s="20">
        <v>1.5103024994287901</v>
      </c>
      <c r="H876">
        <v>0.2</v>
      </c>
    </row>
    <row r="877" spans="1:8" x14ac:dyDescent="0.25">
      <c r="A877" s="18">
        <v>-506745</v>
      </c>
      <c r="B877" s="20">
        <v>6.4616926396767675E-4</v>
      </c>
      <c r="C877" s="20">
        <v>1.1248470054237405</v>
      </c>
      <c r="D877" s="20">
        <v>-9.1695117917375682E-2</v>
      </c>
      <c r="E877" s="20">
        <v>0.95970511498931654</v>
      </c>
      <c r="F877" s="20">
        <v>6.4760643976598198E-2</v>
      </c>
      <c r="G877" s="20">
        <v>1.7518088197532091</v>
      </c>
      <c r="H877">
        <v>0.3</v>
      </c>
    </row>
    <row r="878" spans="1:8" x14ac:dyDescent="0.25">
      <c r="A878" s="18">
        <v>207561.25</v>
      </c>
      <c r="B878" s="20">
        <v>4.2907966723197623E-4</v>
      </c>
      <c r="C878" s="20">
        <v>0.92798185568436853</v>
      </c>
      <c r="D878" s="20">
        <v>5.3219577897136786E-2</v>
      </c>
      <c r="E878" s="20">
        <v>0.7770674088083096</v>
      </c>
      <c r="F878" s="20">
        <v>3.2214111872232755E-2</v>
      </c>
      <c r="G878" s="20">
        <v>0.33823096405150982</v>
      </c>
      <c r="H878">
        <v>0.65</v>
      </c>
    </row>
    <row r="879" spans="1:8" x14ac:dyDescent="0.25">
      <c r="A879" s="18">
        <v>-2622592</v>
      </c>
      <c r="B879" s="20">
        <v>1.757339417647196E-3</v>
      </c>
      <c r="C879" s="20">
        <v>1.2679934100819934</v>
      </c>
      <c r="D879" s="20">
        <v>-0.27363468645851613</v>
      </c>
      <c r="E879" s="20">
        <v>0.72630041004756729</v>
      </c>
      <c r="F879" s="20">
        <v>2.2137286861968375E-3</v>
      </c>
      <c r="G879" s="20">
        <v>1.1985202611731052</v>
      </c>
      <c r="H879">
        <v>0.4</v>
      </c>
    </row>
    <row r="880" spans="1:8" x14ac:dyDescent="0.25">
      <c r="A880" s="18">
        <v>-660711</v>
      </c>
      <c r="B880" s="20">
        <v>3.8069709296466086E-3</v>
      </c>
      <c r="C880" s="20">
        <v>1.2964267796922841</v>
      </c>
      <c r="D880" s="20">
        <v>-0.1229587091169564</v>
      </c>
      <c r="E880" s="20">
        <v>0.77128891781325482</v>
      </c>
      <c r="F880" s="20">
        <v>7.1860883106867526E-3</v>
      </c>
      <c r="G880" s="20">
        <v>0.66356192548550663</v>
      </c>
      <c r="H880">
        <v>0.6</v>
      </c>
    </row>
    <row r="881" spans="1:8" x14ac:dyDescent="0.25">
      <c r="A881" s="18">
        <v>679992.5</v>
      </c>
      <c r="B881" s="20">
        <v>1.0407319549626442E-3</v>
      </c>
      <c r="C881" s="20">
        <v>0.8845167308040579</v>
      </c>
      <c r="D881" s="20">
        <v>0.11427028042572199</v>
      </c>
      <c r="E881" s="20">
        <v>0.66374380480365991</v>
      </c>
      <c r="F881" s="20">
        <v>1.5906430429301375E-2</v>
      </c>
      <c r="G881" s="20">
        <v>0.65524830946991508</v>
      </c>
      <c r="H881">
        <v>0.625</v>
      </c>
    </row>
    <row r="882" spans="1:8" x14ac:dyDescent="0.25">
      <c r="A882" s="18">
        <v>-2058133</v>
      </c>
      <c r="B882" s="20">
        <v>1.7326157209896847E-3</v>
      </c>
      <c r="C882" s="20">
        <v>1.2690675360706121</v>
      </c>
      <c r="D882" s="20">
        <v>-0.1427162189552475</v>
      </c>
      <c r="E882" s="20">
        <v>0.86376748382377755</v>
      </c>
      <c r="F882" s="20">
        <v>2.9268040005389306E-2</v>
      </c>
      <c r="G882" s="20">
        <v>1.0962869610332842</v>
      </c>
      <c r="H882">
        <v>0.47499999999999998</v>
      </c>
    </row>
    <row r="883" spans="1:8" x14ac:dyDescent="0.25">
      <c r="A883" s="18">
        <v>1482702.5</v>
      </c>
      <c r="B883" s="20">
        <v>1.5833841980496175E-3</v>
      </c>
      <c r="C883" s="20">
        <v>0.84720741951158984</v>
      </c>
      <c r="D883" s="20">
        <v>0.15380496791179638</v>
      </c>
      <c r="E883" s="20">
        <v>0.93146151716727932</v>
      </c>
      <c r="F883" s="20">
        <v>5.1333864514721612E-2</v>
      </c>
      <c r="G883" s="20">
        <v>0.65891276459377346</v>
      </c>
      <c r="H883">
        <v>0.65</v>
      </c>
    </row>
    <row r="884" spans="1:8" x14ac:dyDescent="0.25">
      <c r="A884" s="18">
        <v>-853707</v>
      </c>
      <c r="B884" s="20">
        <v>2.3813588336976301E-3</v>
      </c>
      <c r="C884" s="20">
        <v>1.2131401228204759</v>
      </c>
      <c r="D884" s="20">
        <v>-0.12440183927274263</v>
      </c>
      <c r="E884" s="20">
        <v>0.88421155844768284</v>
      </c>
      <c r="F884" s="20">
        <v>6.5100229581223738E-3</v>
      </c>
      <c r="G884" s="20">
        <v>0.57691076834381305</v>
      </c>
      <c r="H884">
        <v>0.55000000000000004</v>
      </c>
    </row>
    <row r="885" spans="1:8" x14ac:dyDescent="0.25">
      <c r="A885" s="18">
        <v>-1997509</v>
      </c>
      <c r="B885" s="20">
        <v>1.757995097665414E-3</v>
      </c>
      <c r="C885" s="20">
        <v>1.207127332333916</v>
      </c>
      <c r="D885" s="20">
        <v>-9.6647407267774862E-2</v>
      </c>
      <c r="E885" s="20">
        <v>0.92113675063057388</v>
      </c>
      <c r="F885" s="20">
        <v>4.2192801975459264E-2</v>
      </c>
      <c r="G885" s="20">
        <v>1.324284472775505</v>
      </c>
      <c r="H885">
        <v>0.4</v>
      </c>
    </row>
    <row r="886" spans="1:8" x14ac:dyDescent="0.25">
      <c r="A886" s="18">
        <v>-1469775</v>
      </c>
      <c r="B886" s="20">
        <v>1.5102341171399998E-3</v>
      </c>
      <c r="C886" s="20">
        <v>1.1626540015623423</v>
      </c>
      <c r="D886" s="20">
        <v>-0.17492177895309355</v>
      </c>
      <c r="E886" s="20">
        <v>0.58911805154599783</v>
      </c>
      <c r="F886" s="20">
        <v>7.4293630325368608E-3</v>
      </c>
      <c r="G886" s="20">
        <v>1.0957634876921607</v>
      </c>
      <c r="H886">
        <v>0.4</v>
      </c>
    </row>
    <row r="887" spans="1:8" x14ac:dyDescent="0.25">
      <c r="A887" s="18">
        <v>-258899</v>
      </c>
      <c r="B887" s="20">
        <v>4.1871389377375109E-3</v>
      </c>
      <c r="C887" s="20">
        <v>1.0270351970430676</v>
      </c>
      <c r="D887" s="20">
        <v>-1.4067514440992362E-2</v>
      </c>
      <c r="E887" s="20">
        <v>0.81172868215925975</v>
      </c>
      <c r="F887" s="20">
        <v>2.3746968938819009E-2</v>
      </c>
      <c r="G887" s="20">
        <v>1.906329320385487</v>
      </c>
      <c r="H887">
        <v>0.45</v>
      </c>
    </row>
    <row r="888" spans="1:8" x14ac:dyDescent="0.25">
      <c r="A888" s="18">
        <v>-570123</v>
      </c>
      <c r="B888" s="20">
        <v>5.5430127388798065E-4</v>
      </c>
      <c r="C888" s="20">
        <v>1.0709726423683332</v>
      </c>
      <c r="D888" s="20">
        <v>-9.4701104740744377E-2</v>
      </c>
      <c r="E888" s="20">
        <v>0.49277523241790416</v>
      </c>
      <c r="F888" s="20">
        <v>4.4016712966069765E-2</v>
      </c>
      <c r="G888" s="20">
        <v>2.090534673098547</v>
      </c>
      <c r="H888">
        <v>0.2</v>
      </c>
    </row>
    <row r="889" spans="1:8" x14ac:dyDescent="0.25">
      <c r="A889" s="18">
        <v>417663.75</v>
      </c>
      <c r="B889" s="20">
        <v>2.1740062536494496E-3</v>
      </c>
      <c r="C889" s="20">
        <v>0.83997596913992267</v>
      </c>
      <c r="D889" s="20">
        <v>8.3683916626995009E-2</v>
      </c>
      <c r="E889" s="20">
        <v>0.81181447309714816</v>
      </c>
      <c r="F889" s="20">
        <v>3.4662414184983753E-2</v>
      </c>
      <c r="G889" s="20">
        <v>0.43123476588182935</v>
      </c>
      <c r="H889">
        <v>0.7</v>
      </c>
    </row>
    <row r="890" spans="1:8" x14ac:dyDescent="0.25">
      <c r="A890" s="18">
        <v>-572248</v>
      </c>
      <c r="B890" s="20">
        <v>6.7176798251869507E-4</v>
      </c>
      <c r="C890" s="20">
        <v>1.2328805943288597</v>
      </c>
      <c r="D890" s="20">
        <v>-0.10140034858097491</v>
      </c>
      <c r="E890" s="20">
        <v>0.99653492139871003</v>
      </c>
      <c r="F890" s="20">
        <v>5.2228671387654227E-3</v>
      </c>
      <c r="G890" s="20">
        <v>1.037931944279002</v>
      </c>
      <c r="H890">
        <v>0.42499999999999999</v>
      </c>
    </row>
    <row r="891" spans="1:8" x14ac:dyDescent="0.25">
      <c r="A891" s="18">
        <v>-27602</v>
      </c>
      <c r="B891" s="20">
        <v>1.54917221129436E-3</v>
      </c>
      <c r="C891" s="20">
        <v>1.0189899740066839</v>
      </c>
      <c r="D891" s="20">
        <v>-8.1077286316614417E-3</v>
      </c>
      <c r="E891" s="20">
        <v>0.7954067235160448</v>
      </c>
      <c r="F891" s="20">
        <v>1.4115531461288695E-2</v>
      </c>
      <c r="G891" s="20">
        <v>2.1017671608400819</v>
      </c>
      <c r="H891">
        <v>0.4</v>
      </c>
    </row>
    <row r="892" spans="1:8" x14ac:dyDescent="0.25">
      <c r="A892" s="18">
        <v>15061.55</v>
      </c>
      <c r="B892" s="20">
        <v>9.7630369890506217E-5</v>
      </c>
      <c r="C892" s="20">
        <v>0.98561193431070726</v>
      </c>
      <c r="D892" s="20">
        <v>2.0423742258828696E-2</v>
      </c>
      <c r="E892" s="20">
        <v>0.51079420227215744</v>
      </c>
      <c r="F892" s="20">
        <v>3.3440775208725168E-2</v>
      </c>
      <c r="G892" s="20">
        <v>-0.6735252266867191</v>
      </c>
      <c r="H892">
        <v>0.57499999999999996</v>
      </c>
    </row>
    <row r="893" spans="1:8" x14ac:dyDescent="0.25">
      <c r="A893" s="18">
        <v>-2350531</v>
      </c>
      <c r="B893" s="20">
        <v>1.9491411797664228E-3</v>
      </c>
      <c r="C893" s="20">
        <v>1.2869570841389411</v>
      </c>
      <c r="D893" s="20">
        <v>-0.21384854155034644</v>
      </c>
      <c r="E893" s="20">
        <v>0.7174258622714168</v>
      </c>
      <c r="F893" s="20">
        <v>1.1847535142617037E-2</v>
      </c>
      <c r="G893" s="20">
        <v>0.84917447101392407</v>
      </c>
      <c r="H893">
        <v>0.55000000000000004</v>
      </c>
    </row>
    <row r="894" spans="1:8" x14ac:dyDescent="0.25">
      <c r="A894" s="18">
        <v>834073.75</v>
      </c>
      <c r="B894" s="20">
        <v>8.3296708170786562E-4</v>
      </c>
      <c r="C894" s="20">
        <v>0.81032680940004664</v>
      </c>
      <c r="D894" s="20">
        <v>0.15500434865832741</v>
      </c>
      <c r="E894" s="20">
        <v>0.53148915478530079</v>
      </c>
      <c r="F894" s="20">
        <v>1.4658137845035375E-2</v>
      </c>
      <c r="G894" s="20">
        <v>0.65756479969448678</v>
      </c>
      <c r="H894">
        <v>0.57499999999999996</v>
      </c>
    </row>
    <row r="895" spans="1:8" x14ac:dyDescent="0.25">
      <c r="A895" s="18">
        <v>-517094</v>
      </c>
      <c r="B895" s="20">
        <v>2.5777055163710993E-2</v>
      </c>
      <c r="C895" s="20">
        <v>1.089423721892059</v>
      </c>
      <c r="D895" s="20">
        <v>-6.0180791199792652E-2</v>
      </c>
      <c r="E895" s="20">
        <v>0.62926214342502973</v>
      </c>
      <c r="F895" s="20">
        <v>2.520732703524522E-3</v>
      </c>
      <c r="G895" s="20">
        <v>1.0135956555115695</v>
      </c>
      <c r="H895">
        <v>0.5</v>
      </c>
    </row>
    <row r="896" spans="1:8" x14ac:dyDescent="0.25">
      <c r="A896" s="18">
        <v>-259504</v>
      </c>
      <c r="B896" s="20">
        <v>3.9134968488508861E-3</v>
      </c>
      <c r="C896" s="20">
        <v>1.0480844406768877</v>
      </c>
      <c r="D896" s="20">
        <v>-2.5050481492757869E-2</v>
      </c>
      <c r="E896" s="20">
        <v>0.85816558323618208</v>
      </c>
      <c r="F896" s="20">
        <v>1.0695184068486864E-2</v>
      </c>
      <c r="G896" s="20">
        <v>0.90019493423305308</v>
      </c>
      <c r="H896">
        <v>0.6</v>
      </c>
    </row>
    <row r="897" spans="1:8" x14ac:dyDescent="0.25">
      <c r="A897" s="18">
        <v>-143988</v>
      </c>
      <c r="B897" s="20">
        <v>1.507657344366814E-2</v>
      </c>
      <c r="C897" s="20">
        <v>1.1981179764890906</v>
      </c>
      <c r="D897" s="20">
        <v>-0.12084102290380001</v>
      </c>
      <c r="E897" s="20">
        <v>0.70079121750335682</v>
      </c>
      <c r="F897" s="20">
        <v>1.3943194950438463E-2</v>
      </c>
      <c r="G897" s="20">
        <v>0.87586799735932908</v>
      </c>
      <c r="H897">
        <v>0.65</v>
      </c>
    </row>
    <row r="898" spans="1:8" x14ac:dyDescent="0.25">
      <c r="A898" s="18">
        <v>-482233</v>
      </c>
      <c r="B898" s="20">
        <v>9.7308701221759952E-4</v>
      </c>
      <c r="C898" s="20">
        <v>1.1849849484622037</v>
      </c>
      <c r="D898" s="20">
        <v>-0.15523719050858109</v>
      </c>
      <c r="E898" s="20">
        <v>0.49319951353651331</v>
      </c>
      <c r="F898" s="20">
        <v>1.0072987390336229E-2</v>
      </c>
      <c r="G898" s="20">
        <v>0.58372211965251186</v>
      </c>
      <c r="H898">
        <v>0.35</v>
      </c>
    </row>
    <row r="899" spans="1:8" x14ac:dyDescent="0.25">
      <c r="A899" s="18">
        <v>-655065</v>
      </c>
      <c r="B899" s="20">
        <v>8.797555446286026E-4</v>
      </c>
      <c r="C899" s="20">
        <v>1.2308299732898103</v>
      </c>
      <c r="D899" s="20">
        <v>-0.23993912377798859</v>
      </c>
      <c r="E899" s="20">
        <v>0.77151695052240232</v>
      </c>
      <c r="F899" s="20">
        <v>2.5821114745451682E-2</v>
      </c>
      <c r="G899" s="20">
        <v>1.0531330804233052</v>
      </c>
      <c r="H899">
        <v>0.42499999999999999</v>
      </c>
    </row>
    <row r="900" spans="1:8" x14ac:dyDescent="0.25">
      <c r="A900" s="18">
        <v>-180025</v>
      </c>
      <c r="B900" s="20">
        <v>1.4636291502710761E-3</v>
      </c>
      <c r="C900" s="20">
        <v>1.0284923745417034</v>
      </c>
      <c r="D900" s="20">
        <v>-1.945655446765289E-2</v>
      </c>
      <c r="E900" s="20">
        <v>0.82400158447697036</v>
      </c>
      <c r="F900" s="20">
        <v>1.8809065408823791E-2</v>
      </c>
      <c r="G900" s="20">
        <v>2.1891030117015027</v>
      </c>
      <c r="H900">
        <v>0.4</v>
      </c>
    </row>
    <row r="901" spans="1:8" x14ac:dyDescent="0.25">
      <c r="A901" s="18">
        <v>-412313</v>
      </c>
      <c r="B901" s="20">
        <v>1.1720261948740412E-3</v>
      </c>
      <c r="C901" s="20">
        <v>1.1719689135172446</v>
      </c>
      <c r="D901" s="20">
        <v>-8.5898684831141381E-2</v>
      </c>
      <c r="E901" s="20">
        <v>0.96698993059619665</v>
      </c>
      <c r="F901" s="20">
        <v>1.2196478660797767E-2</v>
      </c>
      <c r="G901" s="20">
        <v>0.44478036565995271</v>
      </c>
      <c r="H901">
        <v>0.55000000000000004</v>
      </c>
    </row>
    <row r="902" spans="1:8" x14ac:dyDescent="0.25">
      <c r="A902" s="18">
        <v>-680550</v>
      </c>
      <c r="B902" s="20">
        <v>1.5636663904820308E-3</v>
      </c>
      <c r="C902" s="20">
        <v>1.0886429256159067</v>
      </c>
      <c r="D902" s="20">
        <v>-4.3681758284642928E-2</v>
      </c>
      <c r="E902" s="20">
        <v>0.85107595236120859</v>
      </c>
      <c r="F902" s="20">
        <v>1.908569660706572E-2</v>
      </c>
      <c r="G902" s="20">
        <v>2.1420560201545511</v>
      </c>
      <c r="H902">
        <v>0.4</v>
      </c>
    </row>
    <row r="903" spans="1:8" x14ac:dyDescent="0.25">
      <c r="A903" s="18">
        <v>1446737.5</v>
      </c>
      <c r="B903" s="20">
        <v>2.7278121035122387E-3</v>
      </c>
      <c r="C903" s="20">
        <v>0.82691158210743942</v>
      </c>
      <c r="D903" s="20">
        <v>0.15456328057534896</v>
      </c>
      <c r="E903" s="20">
        <v>0.51399886680599305</v>
      </c>
      <c r="F903" s="20">
        <v>1.8485041339557869E-2</v>
      </c>
      <c r="G903" s="20">
        <v>0.89444555637914025</v>
      </c>
      <c r="H903">
        <v>0.625</v>
      </c>
    </row>
    <row r="904" spans="1:8" x14ac:dyDescent="0.25">
      <c r="A904" s="18">
        <v>-19724</v>
      </c>
      <c r="B904" s="20">
        <v>1.8663229210472865E-5</v>
      </c>
      <c r="C904" s="20">
        <v>1.1357922364967536</v>
      </c>
      <c r="D904" s="20">
        <v>-0.10577913162862536</v>
      </c>
      <c r="E904" s="20">
        <v>0.96101098289430964</v>
      </c>
      <c r="F904" s="20">
        <v>1.3015917281620045E-2</v>
      </c>
      <c r="G904" s="20">
        <v>1.2831070060331327</v>
      </c>
      <c r="H904">
        <v>0.35</v>
      </c>
    </row>
    <row r="905" spans="1:8" x14ac:dyDescent="0.25">
      <c r="A905" s="18">
        <v>462190</v>
      </c>
      <c r="B905" s="20">
        <v>6.535002885358236E-4</v>
      </c>
      <c r="C905" s="20">
        <v>0.79366969573973001</v>
      </c>
      <c r="D905" s="20">
        <v>0.25669407313773362</v>
      </c>
      <c r="E905" s="20">
        <v>0.53421384539750172</v>
      </c>
      <c r="F905" s="20">
        <v>8.4607575027158405E-3</v>
      </c>
      <c r="G905" s="20">
        <v>1.0062434514907457</v>
      </c>
      <c r="H905">
        <v>0.5</v>
      </c>
    </row>
    <row r="906" spans="1:8" x14ac:dyDescent="0.25">
      <c r="A906" s="18">
        <v>-1001</v>
      </c>
      <c r="B906" s="20">
        <v>3.1974380854311662E-4</v>
      </c>
      <c r="C906" s="20">
        <v>1.00158307808133</v>
      </c>
      <c r="D906" s="20">
        <v>-6.2344955072394267E-4</v>
      </c>
      <c r="E906" s="20">
        <v>0.86766930295521916</v>
      </c>
      <c r="F906" s="20">
        <v>7.641461076755297E-3</v>
      </c>
      <c r="G906" s="20">
        <v>26.529020223260193</v>
      </c>
      <c r="H906">
        <v>0.35</v>
      </c>
    </row>
    <row r="907" spans="1:8" x14ac:dyDescent="0.25">
      <c r="A907" s="18">
        <v>241505</v>
      </c>
      <c r="B907" s="20">
        <v>1.2697179800883319E-2</v>
      </c>
      <c r="C907" s="20">
        <v>0.97691021218130891</v>
      </c>
      <c r="D907" s="20">
        <v>1.6706814073750166E-2</v>
      </c>
      <c r="E907" s="20">
        <v>0.83359416767529848</v>
      </c>
      <c r="F907" s="20">
        <v>3.5255490323080958E-2</v>
      </c>
      <c r="G907" s="20">
        <v>-3.153194409342689E-2</v>
      </c>
      <c r="H907">
        <v>0.8</v>
      </c>
    </row>
    <row r="908" spans="1:8" x14ac:dyDescent="0.25">
      <c r="A908" s="18">
        <v>709893.75</v>
      </c>
      <c r="B908" s="20">
        <v>1.2639488615159386E-3</v>
      </c>
      <c r="C908" s="20">
        <v>0.85386957494022331</v>
      </c>
      <c r="D908" s="20">
        <v>0.13021910534156173</v>
      </c>
      <c r="E908" s="20">
        <v>0.69116957761635867</v>
      </c>
      <c r="F908" s="20">
        <v>1.729220019396379E-2</v>
      </c>
      <c r="G908" s="20">
        <v>0.79168218032524196</v>
      </c>
      <c r="H908">
        <v>0.625</v>
      </c>
    </row>
    <row r="909" spans="1:8" x14ac:dyDescent="0.25">
      <c r="A909" s="18">
        <v>-151996</v>
      </c>
      <c r="B909" s="20">
        <v>6.6147503127277005E-3</v>
      </c>
      <c r="C909" s="20">
        <v>1.0429701819357697</v>
      </c>
      <c r="D909" s="20">
        <v>-4.8216864863287315E-2</v>
      </c>
      <c r="E909" s="20">
        <v>0.64484290916246789</v>
      </c>
      <c r="F909" s="20">
        <v>3.9795821581485001E-3</v>
      </c>
      <c r="G909" s="20">
        <v>0.97476436187833393</v>
      </c>
      <c r="H909">
        <v>0.57499999999999996</v>
      </c>
    </row>
    <row r="910" spans="1:8" x14ac:dyDescent="0.25">
      <c r="A910" s="18">
        <v>-344482</v>
      </c>
      <c r="B910" s="20">
        <v>5.1551669379229839E-4</v>
      </c>
      <c r="C910" s="20">
        <v>1.1160743670662443</v>
      </c>
      <c r="D910" s="20">
        <v>-0.10785528039454866</v>
      </c>
      <c r="E910" s="20">
        <v>0.76640084387578167</v>
      </c>
      <c r="F910" s="20">
        <v>3.2373929531285617E-4</v>
      </c>
      <c r="G910" s="20">
        <v>0.97039174718448429</v>
      </c>
      <c r="H910">
        <v>0.55000000000000004</v>
      </c>
    </row>
    <row r="911" spans="1:8" x14ac:dyDescent="0.25">
      <c r="A911" s="18">
        <v>-1421685</v>
      </c>
      <c r="B911" s="20">
        <v>6.3054134297824561E-4</v>
      </c>
      <c r="C911" s="20">
        <v>1.1759639753516344</v>
      </c>
      <c r="D911" s="20">
        <v>-0.1708017989822907</v>
      </c>
      <c r="E911" s="20">
        <v>0.65590519518108448</v>
      </c>
      <c r="F911" s="20">
        <v>4.4213587998935558E-2</v>
      </c>
      <c r="G911" s="20">
        <v>1.7558424768313448</v>
      </c>
      <c r="H911">
        <v>0.27500000000000002</v>
      </c>
    </row>
    <row r="912" spans="1:8" x14ac:dyDescent="0.25">
      <c r="A912" s="18">
        <v>134613.75</v>
      </c>
      <c r="B912" s="20">
        <v>7.1531744759918497E-4</v>
      </c>
      <c r="C912" s="20">
        <v>0.90103056066281928</v>
      </c>
      <c r="D912" s="20">
        <v>0.16108693857183373</v>
      </c>
      <c r="E912" s="20">
        <v>0.58564814814814814</v>
      </c>
      <c r="F912" s="20">
        <v>2.1009765945200137E-2</v>
      </c>
      <c r="G912" s="20">
        <v>0.4394455766854713</v>
      </c>
      <c r="H912">
        <v>0.57499999999999996</v>
      </c>
    </row>
    <row r="913" spans="1:8" x14ac:dyDescent="0.25">
      <c r="A913" s="18">
        <v>971532.5</v>
      </c>
      <c r="B913" s="20">
        <v>1.6305629811085982E-2</v>
      </c>
      <c r="C913" s="20">
        <v>0.91730633353786117</v>
      </c>
      <c r="D913" s="20">
        <v>8.7516210000169348E-2</v>
      </c>
      <c r="E913" s="20">
        <v>0.94441850167233754</v>
      </c>
      <c r="F913" s="20">
        <v>3.1125272178469086E-2</v>
      </c>
      <c r="G913" s="20">
        <v>0.66815197140465021</v>
      </c>
      <c r="H913">
        <v>0.8</v>
      </c>
    </row>
    <row r="914" spans="1:8" x14ac:dyDescent="0.25">
      <c r="A914" s="18">
        <v>39541.599999999999</v>
      </c>
      <c r="B914" s="20">
        <v>4.3253846166907376E-5</v>
      </c>
      <c r="C914" s="20">
        <v>0.82272121240199936</v>
      </c>
      <c r="D914" s="20">
        <v>0.10209368795296754</v>
      </c>
      <c r="E914" s="20">
        <v>0.76637849667473334</v>
      </c>
      <c r="F914" s="20">
        <v>4.1878922921609989E-3</v>
      </c>
      <c r="G914" s="20">
        <v>1.5313345816269928</v>
      </c>
      <c r="H914">
        <v>0.5</v>
      </c>
    </row>
    <row r="915" spans="1:8" x14ac:dyDescent="0.25">
      <c r="A915" s="18">
        <v>-953147</v>
      </c>
      <c r="B915" s="20">
        <v>1.2986721418504672E-3</v>
      </c>
      <c r="C915" s="20">
        <v>1.2630491193042606</v>
      </c>
      <c r="D915" s="20">
        <v>-0.12568852646007961</v>
      </c>
      <c r="E915" s="20">
        <v>0.78982349642635152</v>
      </c>
      <c r="F915" s="20">
        <v>1.9890801031990247E-3</v>
      </c>
      <c r="G915" s="20">
        <v>1.4612297256749507</v>
      </c>
      <c r="H915">
        <v>0.4</v>
      </c>
    </row>
    <row r="916" spans="1:8" x14ac:dyDescent="0.25">
      <c r="A916" s="18">
        <v>829020</v>
      </c>
      <c r="B916" s="20">
        <v>7.8608848294256135E-3</v>
      </c>
      <c r="C916" s="20">
        <v>0.92965570006840326</v>
      </c>
      <c r="D916" s="20">
        <v>8.0546959930845929E-2</v>
      </c>
      <c r="E916" s="20">
        <v>0.36893018150822049</v>
      </c>
      <c r="F916" s="20">
        <v>1.524856104724456E-2</v>
      </c>
      <c r="G916" s="20">
        <v>1.473191866770942</v>
      </c>
      <c r="H916">
        <v>0.5</v>
      </c>
    </row>
    <row r="917" spans="1:8" x14ac:dyDescent="0.25">
      <c r="A917" s="18">
        <v>86751.25</v>
      </c>
      <c r="B917" s="20">
        <v>3.51354330325336E-3</v>
      </c>
      <c r="C917" s="20">
        <v>0.99039396422843129</v>
      </c>
      <c r="D917" s="20">
        <v>7.2934673249384985E-3</v>
      </c>
      <c r="E917" s="20">
        <v>0.94234309106307734</v>
      </c>
      <c r="F917" s="20">
        <v>2.1537908206541629E-2</v>
      </c>
      <c r="G917" s="20">
        <v>3.3439603563448683</v>
      </c>
      <c r="H917">
        <v>0.6</v>
      </c>
    </row>
    <row r="918" spans="1:8" x14ac:dyDescent="0.25">
      <c r="A918" s="18">
        <v>1407796.25</v>
      </c>
      <c r="B918" s="20">
        <v>2.2197579541712538E-2</v>
      </c>
      <c r="C918" s="20">
        <v>0.80549375108131449</v>
      </c>
      <c r="D918" s="20">
        <v>0.20915324207702587</v>
      </c>
      <c r="E918" s="20">
        <v>0.34214254663575577</v>
      </c>
      <c r="F918" s="20">
        <v>5.4135890839485529E-2</v>
      </c>
      <c r="G918" s="20">
        <v>1.0542295618135187</v>
      </c>
      <c r="H918">
        <v>0.52500000000000002</v>
      </c>
    </row>
    <row r="919" spans="1:8" x14ac:dyDescent="0.25">
      <c r="A919" s="18">
        <v>-59067</v>
      </c>
      <c r="B919" s="20">
        <v>2.4112752536886543E-3</v>
      </c>
      <c r="C919" s="20">
        <v>1.0078436308114018</v>
      </c>
      <c r="D919" s="20">
        <v>-2.6575355938665444E-3</v>
      </c>
      <c r="E919" s="20">
        <v>0.73724253790170402</v>
      </c>
      <c r="F919" s="20">
        <v>1.2034564024822742E-2</v>
      </c>
      <c r="G919" s="20">
        <v>8.6157960067573658</v>
      </c>
      <c r="H919">
        <v>0.4</v>
      </c>
    </row>
    <row r="920" spans="1:8" x14ac:dyDescent="0.25">
      <c r="A920" s="18">
        <v>-173519</v>
      </c>
      <c r="B920" s="20">
        <v>1.0163785921680796E-4</v>
      </c>
      <c r="C920" s="20">
        <v>1.246354824517832</v>
      </c>
      <c r="D920" s="20">
        <v>-0.24632714625403698</v>
      </c>
      <c r="E920" s="20">
        <v>0.46912189943672739</v>
      </c>
      <c r="F920" s="20">
        <v>5.9112041736167796E-3</v>
      </c>
      <c r="G920" s="20">
        <v>0.85335649540476544</v>
      </c>
      <c r="H920">
        <v>0.35</v>
      </c>
    </row>
    <row r="921" spans="1:8" x14ac:dyDescent="0.25">
      <c r="A921" s="18">
        <v>-115254</v>
      </c>
      <c r="B921" s="20">
        <v>6.9590087810748327E-5</v>
      </c>
      <c r="C921" s="20">
        <v>1.2136750547229078</v>
      </c>
      <c r="D921" s="20">
        <v>-0.21605479821838305</v>
      </c>
      <c r="E921" s="20">
        <v>0.40011490830212482</v>
      </c>
      <c r="F921" s="20">
        <v>3.4380108276720507E-2</v>
      </c>
      <c r="G921" s="20">
        <v>0.91305780120189117</v>
      </c>
      <c r="H921">
        <v>0.35</v>
      </c>
    </row>
    <row r="922" spans="1:8" x14ac:dyDescent="0.25">
      <c r="A922" s="18">
        <v>-921519</v>
      </c>
      <c r="B922" s="20">
        <v>4.018427419238739E-3</v>
      </c>
      <c r="C922" s="20">
        <v>1.1010199279234172</v>
      </c>
      <c r="D922" s="20">
        <v>-5.5042052694735243E-2</v>
      </c>
      <c r="E922" s="20">
        <v>0.75113017744603561</v>
      </c>
      <c r="F922" s="20">
        <v>2.9409171734233897E-2</v>
      </c>
      <c r="G922" s="20">
        <v>0.45594423245769961</v>
      </c>
      <c r="H922">
        <v>0.6</v>
      </c>
    </row>
    <row r="923" spans="1:8" x14ac:dyDescent="0.25">
      <c r="A923" s="18">
        <v>-1078866</v>
      </c>
      <c r="B923" s="20">
        <v>1.2301929482565277E-3</v>
      </c>
      <c r="C923" s="20">
        <v>1.1185044761491156</v>
      </c>
      <c r="D923" s="20">
        <v>-0.14615867216710599</v>
      </c>
      <c r="E923" s="20">
        <v>0.64951911286682928</v>
      </c>
      <c r="F923" s="20">
        <v>1.5927855030521694E-2</v>
      </c>
      <c r="G923" s="20">
        <v>0.61999849166028542</v>
      </c>
      <c r="H923">
        <v>0.47499999999999998</v>
      </c>
    </row>
    <row r="924" spans="1:8" x14ac:dyDescent="0.25">
      <c r="A924" s="18">
        <v>-171396</v>
      </c>
      <c r="B924" s="20">
        <v>3.3022953738579507E-4</v>
      </c>
      <c r="C924" s="20">
        <v>1.2045220203876086</v>
      </c>
      <c r="D924" s="20">
        <v>-0.10345252178951689</v>
      </c>
      <c r="E924" s="20">
        <v>0.83967531230107406</v>
      </c>
      <c r="F924" s="20">
        <v>4.3222917018759504E-3</v>
      </c>
      <c r="G924" s="20">
        <v>1.6846212271469316</v>
      </c>
      <c r="H924">
        <v>0.35</v>
      </c>
    </row>
    <row r="925" spans="1:8" x14ac:dyDescent="0.25">
      <c r="A925" s="18">
        <v>354445</v>
      </c>
      <c r="B925" s="20">
        <v>8.1592858461779054E-4</v>
      </c>
      <c r="C925" s="20">
        <v>0.83649814957980584</v>
      </c>
      <c r="D925" s="20">
        <v>0.11634017434368379</v>
      </c>
      <c r="E925" s="20">
        <v>0.80727115478323819</v>
      </c>
      <c r="F925" s="20">
        <v>1.9212729097696928E-2</v>
      </c>
      <c r="G925" s="20">
        <v>0.77209318926479498</v>
      </c>
      <c r="H925">
        <v>0.65</v>
      </c>
    </row>
    <row r="926" spans="1:8" x14ac:dyDescent="0.25">
      <c r="A926" s="18">
        <v>-133436</v>
      </c>
      <c r="B926" s="20">
        <v>5.7577708895191159E-5</v>
      </c>
      <c r="C926" s="20">
        <v>1.2790685520286316</v>
      </c>
      <c r="D926" s="20">
        <v>-0.21094366288472211</v>
      </c>
      <c r="E926" s="20">
        <v>0.54877174901274928</v>
      </c>
      <c r="F926" s="20">
        <v>1.523000725614836E-2</v>
      </c>
      <c r="G926" s="20">
        <v>1.1163982420984699</v>
      </c>
      <c r="H926">
        <v>0.27500000000000002</v>
      </c>
    </row>
    <row r="927" spans="1:8" x14ac:dyDescent="0.25">
      <c r="A927" s="18">
        <v>1916635</v>
      </c>
      <c r="B927" s="20">
        <v>4.2084120375125286E-3</v>
      </c>
      <c r="C927" s="20">
        <v>0.83634918723506602</v>
      </c>
      <c r="D927" s="20">
        <v>0.10150216865172883</v>
      </c>
      <c r="E927" s="20">
        <v>0.97847091423996013</v>
      </c>
      <c r="F927" s="20">
        <v>2.0617284604426273E-2</v>
      </c>
      <c r="G927" s="20">
        <v>0.46757547201811539</v>
      </c>
      <c r="H927">
        <v>0.75</v>
      </c>
    </row>
    <row r="928" spans="1:8" x14ac:dyDescent="0.25">
      <c r="A928" s="18">
        <v>-634145</v>
      </c>
      <c r="B928" s="20">
        <v>1.31931973214526E-3</v>
      </c>
      <c r="C928" s="20">
        <v>1.1337799527233723</v>
      </c>
      <c r="D928" s="20">
        <v>-6.9361598102070585E-2</v>
      </c>
      <c r="E928" s="20">
        <v>0.73305415692511888</v>
      </c>
      <c r="F928" s="20">
        <v>1.8595923805002846E-2</v>
      </c>
      <c r="G928" s="20">
        <v>1.1449520330514165</v>
      </c>
      <c r="H928">
        <v>0.4</v>
      </c>
    </row>
    <row r="929" spans="1:8" x14ac:dyDescent="0.25">
      <c r="A929" s="18">
        <v>-767028</v>
      </c>
      <c r="B929" s="20">
        <v>2.3779389750782829E-3</v>
      </c>
      <c r="C929" s="20">
        <v>1.1239789182203332</v>
      </c>
      <c r="D929" s="20">
        <v>-6.4762717894949084E-2</v>
      </c>
      <c r="E929" s="20">
        <v>0.7811371815559367</v>
      </c>
      <c r="F929" s="20">
        <v>4.5493515267992189E-3</v>
      </c>
      <c r="G929" s="20">
        <v>2.045986103062666</v>
      </c>
      <c r="H929">
        <v>0.4</v>
      </c>
    </row>
    <row r="930" spans="1:8" x14ac:dyDescent="0.25">
      <c r="A930" s="18">
        <v>264895</v>
      </c>
      <c r="B930" s="20">
        <v>0.26391260135631339</v>
      </c>
      <c r="C930" s="20">
        <v>0.9731909280036275</v>
      </c>
      <c r="D930" s="20">
        <v>1.4676335538500373E-2</v>
      </c>
      <c r="E930" s="20">
        <v>0.9859203198972365</v>
      </c>
      <c r="F930" s="20">
        <v>2.0546703540847745E-2</v>
      </c>
      <c r="G930" s="20">
        <v>0.54329370336432259</v>
      </c>
      <c r="H930">
        <v>0.8</v>
      </c>
    </row>
    <row r="931" spans="1:8" x14ac:dyDescent="0.25">
      <c r="A931" s="18">
        <v>1578992.5</v>
      </c>
      <c r="B931" s="20">
        <v>1.1590762859747035E-2</v>
      </c>
      <c r="C931" s="20">
        <v>0.78729450997136097</v>
      </c>
      <c r="D931" s="20">
        <v>8.0715180793151306E-2</v>
      </c>
      <c r="E931" s="20">
        <v>0.8357046457137467</v>
      </c>
      <c r="F931" s="20">
        <v>1.459188135353918E-2</v>
      </c>
      <c r="G931" s="20">
        <v>0.82526585804565866</v>
      </c>
      <c r="H931">
        <v>0.8</v>
      </c>
    </row>
    <row r="932" spans="1:8" x14ac:dyDescent="0.25">
      <c r="A932" s="18">
        <v>1189563.75</v>
      </c>
      <c r="B932" s="20">
        <v>1.5082111197788715E-3</v>
      </c>
      <c r="C932" s="20">
        <v>0.76454382323626724</v>
      </c>
      <c r="D932" s="20">
        <v>0.10274270313268559</v>
      </c>
      <c r="E932" s="20">
        <v>0.92157801206463952</v>
      </c>
      <c r="F932" s="20">
        <v>2.1175004329299706E-2</v>
      </c>
      <c r="G932" s="20">
        <v>0.71941462513501564</v>
      </c>
      <c r="H932">
        <v>0.7</v>
      </c>
    </row>
    <row r="933" spans="1:8" x14ac:dyDescent="0.25">
      <c r="A933" s="18">
        <v>-397669</v>
      </c>
      <c r="B933" s="20">
        <v>2.4754039877662704E-3</v>
      </c>
      <c r="C933" s="20">
        <v>1.0948028048392648</v>
      </c>
      <c r="D933" s="20">
        <v>-2.7062197070481048E-2</v>
      </c>
      <c r="E933" s="20">
        <v>0.8337603046027845</v>
      </c>
      <c r="F933" s="20">
        <v>1.4955802564895981E-2</v>
      </c>
      <c r="G933" s="20">
        <v>1.2014432364835057</v>
      </c>
      <c r="H933">
        <v>0.4</v>
      </c>
    </row>
    <row r="934" spans="1:8" x14ac:dyDescent="0.25">
      <c r="A934" s="18">
        <v>583168.75</v>
      </c>
      <c r="B934" s="20">
        <v>1.4040161154905092E-3</v>
      </c>
      <c r="C934" s="20">
        <v>0.89169415102882543</v>
      </c>
      <c r="D934" s="20">
        <v>5.1624437761865094E-2</v>
      </c>
      <c r="E934" s="20">
        <v>0.85412698205068904</v>
      </c>
      <c r="F934" s="20">
        <v>4.8422634881824872E-5</v>
      </c>
      <c r="G934" s="20">
        <v>0.72578100384479283</v>
      </c>
      <c r="H934">
        <v>0.75</v>
      </c>
    </row>
    <row r="935" spans="1:8" x14ac:dyDescent="0.25">
      <c r="A935" s="18">
        <v>-771728</v>
      </c>
      <c r="B935" s="20">
        <v>2.5968575446596296E-3</v>
      </c>
      <c r="C935" s="20">
        <v>1.087836790600013</v>
      </c>
      <c r="D935" s="20">
        <v>-8.431707883879809E-2</v>
      </c>
      <c r="E935" s="20">
        <v>0.77932069161207707</v>
      </c>
      <c r="F935" s="20">
        <v>9.7088407570715008E-3</v>
      </c>
      <c r="G935" s="20">
        <v>1.9196716772887557</v>
      </c>
      <c r="H935">
        <v>0.4</v>
      </c>
    </row>
    <row r="936" spans="1:8" x14ac:dyDescent="0.25">
      <c r="A936" s="18">
        <v>162342.5</v>
      </c>
      <c r="B936" s="20">
        <v>1.7312841145396623E-3</v>
      </c>
      <c r="C936" s="20">
        <v>0.94013109326821553</v>
      </c>
      <c r="D936" s="20">
        <v>6.324459980700449E-2</v>
      </c>
      <c r="E936" s="20">
        <v>0.56932712068834734</v>
      </c>
      <c r="F936" s="20">
        <v>3.7353242180545476E-2</v>
      </c>
      <c r="G936" s="20">
        <v>1.4453712917120534</v>
      </c>
      <c r="H936">
        <v>0.47499999999999998</v>
      </c>
    </row>
    <row r="937" spans="1:8" x14ac:dyDescent="0.25">
      <c r="A937" s="18">
        <v>-137658</v>
      </c>
      <c r="B937" s="20">
        <v>1.5862293391492842E-3</v>
      </c>
      <c r="C937" s="20">
        <v>1.0481611597035043</v>
      </c>
      <c r="D937" s="20">
        <v>-1.74045897654822E-2</v>
      </c>
      <c r="E937" s="20">
        <v>0.98596918963540314</v>
      </c>
      <c r="F937" s="20">
        <v>1.768147924220281E-2</v>
      </c>
      <c r="G937" s="20">
        <v>1.1425015557636222</v>
      </c>
      <c r="H937">
        <v>0.4</v>
      </c>
    </row>
    <row r="938" spans="1:8" x14ac:dyDescent="0.25">
      <c r="A938" s="18">
        <v>132472.5</v>
      </c>
      <c r="B938" s="20">
        <v>2.8427656209535366E-3</v>
      </c>
      <c r="C938" s="20">
        <v>0.97200009682105104</v>
      </c>
      <c r="D938" s="20">
        <v>3.902792917538226E-2</v>
      </c>
      <c r="E938" s="20">
        <v>0.67747240102821404</v>
      </c>
      <c r="F938" s="20">
        <v>3.4884954187903248E-3</v>
      </c>
      <c r="G938" s="20">
        <v>0.40896692168206517</v>
      </c>
      <c r="H938">
        <v>0.625</v>
      </c>
    </row>
    <row r="939" spans="1:8" x14ac:dyDescent="0.25">
      <c r="A939" s="18">
        <v>343546.25</v>
      </c>
      <c r="B939" s="20">
        <v>2.6095749425837867E-4</v>
      </c>
      <c r="C939" s="20">
        <v>0.93681242473888537</v>
      </c>
      <c r="D939" s="20">
        <v>9.4057399322166058E-2</v>
      </c>
      <c r="E939" s="20">
        <v>0.42625232993515627</v>
      </c>
      <c r="F939" s="20">
        <v>5.8740589023952523E-2</v>
      </c>
      <c r="G939" s="20">
        <v>7.8383699411869151E-2</v>
      </c>
      <c r="H939">
        <v>0.45</v>
      </c>
    </row>
    <row r="940" spans="1:8" x14ac:dyDescent="0.25">
      <c r="A940" s="18">
        <v>-1427938</v>
      </c>
      <c r="B940" s="20">
        <v>9.0431044952316228E-3</v>
      </c>
      <c r="C940" s="20">
        <v>1.1684571048487906</v>
      </c>
      <c r="D940" s="20">
        <v>-0.1399762598581924</v>
      </c>
      <c r="E940" s="20">
        <v>0.84064578172666637</v>
      </c>
      <c r="F940" s="20">
        <v>6.7331700402115929E-3</v>
      </c>
      <c r="G940" s="20">
        <v>1.9735959415192375</v>
      </c>
      <c r="H940">
        <v>0.5</v>
      </c>
    </row>
    <row r="941" spans="1:8" x14ac:dyDescent="0.25">
      <c r="A941" s="18">
        <v>191042.5</v>
      </c>
      <c r="B941" s="20">
        <v>3.0991347293447797E-4</v>
      </c>
      <c r="C941" s="20">
        <v>0.82176022950605898</v>
      </c>
      <c r="D941" s="20">
        <v>0.17646458423200947</v>
      </c>
      <c r="E941" s="20">
        <v>0.60347958803711144</v>
      </c>
      <c r="F941" s="20">
        <v>6.4380465374913057E-2</v>
      </c>
      <c r="G941" s="20">
        <v>1.138812477293389</v>
      </c>
      <c r="H941">
        <v>0.375</v>
      </c>
    </row>
    <row r="942" spans="1:8" x14ac:dyDescent="0.25">
      <c r="A942" s="18">
        <v>156493.75</v>
      </c>
      <c r="B942" s="20">
        <v>1.9854119537695367E-3</v>
      </c>
      <c r="C942" s="20">
        <v>0.98604432456957547</v>
      </c>
      <c r="D942" s="20">
        <v>9.6330006419589522E-3</v>
      </c>
      <c r="E942" s="20">
        <v>0.93611813758578177</v>
      </c>
      <c r="F942" s="20">
        <v>4.869451624001029E-2</v>
      </c>
      <c r="G942" s="20">
        <v>1.8488402971449232</v>
      </c>
      <c r="H942">
        <v>0.55000000000000004</v>
      </c>
    </row>
    <row r="943" spans="1:8" x14ac:dyDescent="0.25">
      <c r="A943" s="18">
        <v>-498578</v>
      </c>
      <c r="B943" s="20">
        <v>1.1854160098168887E-2</v>
      </c>
      <c r="C943" s="20">
        <v>1.114244711648166</v>
      </c>
      <c r="D943" s="20">
        <v>-7.684611833683852E-2</v>
      </c>
      <c r="E943" s="20">
        <v>0.77432140710608821</v>
      </c>
      <c r="F943" s="20">
        <v>8.0011344010986432E-2</v>
      </c>
      <c r="G943" s="20">
        <v>0.87814092577817582</v>
      </c>
      <c r="H943">
        <v>0.6</v>
      </c>
    </row>
    <row r="944" spans="1:8" x14ac:dyDescent="0.25">
      <c r="A944" s="18">
        <v>597103.75</v>
      </c>
      <c r="B944" s="20">
        <v>1.3429902155695135E-3</v>
      </c>
      <c r="C944" s="20">
        <v>0.93987060990137494</v>
      </c>
      <c r="D944" s="20">
        <v>0.11108384107687583</v>
      </c>
      <c r="E944" s="20">
        <v>0.51556694300073846</v>
      </c>
      <c r="F944" s="20">
        <v>4.2851192306669103E-2</v>
      </c>
      <c r="G944" s="20">
        <v>0.39663932883934283</v>
      </c>
      <c r="H944">
        <v>0.625</v>
      </c>
    </row>
    <row r="945" spans="1:8" x14ac:dyDescent="0.25">
      <c r="A945" s="18">
        <v>-130075</v>
      </c>
      <c r="B945" s="20">
        <v>2.0222564502999425E-2</v>
      </c>
      <c r="C945" s="20">
        <v>1.2153268211936941</v>
      </c>
      <c r="D945" s="20">
        <v>-0.11999029561476174</v>
      </c>
      <c r="E945" s="20">
        <v>0.49606709617664729</v>
      </c>
      <c r="F945" s="20">
        <v>2.8707268879733887E-2</v>
      </c>
      <c r="G945" s="20">
        <v>0.50436314338078758</v>
      </c>
      <c r="H945">
        <v>0.5</v>
      </c>
    </row>
    <row r="946" spans="1:8" x14ac:dyDescent="0.25">
      <c r="A946" s="18">
        <v>-825949</v>
      </c>
      <c r="B946" s="20">
        <v>1.5691524807873254E-3</v>
      </c>
      <c r="C946" s="20">
        <v>1.1765121341831508</v>
      </c>
      <c r="D946" s="20">
        <v>-0.14911510248324472</v>
      </c>
      <c r="E946" s="20">
        <v>0.71862653275665067</v>
      </c>
      <c r="F946" s="20">
        <v>3.7112093999588015E-2</v>
      </c>
      <c r="G946" s="20">
        <v>1.3033934860530785</v>
      </c>
      <c r="H946">
        <v>0.4</v>
      </c>
    </row>
    <row r="947" spans="1:8" x14ac:dyDescent="0.25">
      <c r="A947" s="18">
        <v>-195463</v>
      </c>
      <c r="B947" s="20">
        <v>5.5237790725505217E-4</v>
      </c>
      <c r="C947" s="20">
        <v>1.0844524989297339</v>
      </c>
      <c r="D947" s="20">
        <v>-6.6348045247409643E-2</v>
      </c>
      <c r="E947" s="20">
        <v>0.71686225289936201</v>
      </c>
      <c r="F947" s="20">
        <v>7.9995926714810636E-2</v>
      </c>
      <c r="G947" s="20">
        <v>0.57613702712903414</v>
      </c>
      <c r="H947">
        <v>0.45</v>
      </c>
    </row>
    <row r="948" spans="1:8" x14ac:dyDescent="0.25">
      <c r="A948" s="18">
        <v>-986447</v>
      </c>
      <c r="B948" s="20">
        <v>4.5291578866107332E-4</v>
      </c>
      <c r="C948" s="20">
        <v>1.2385455453938994</v>
      </c>
      <c r="D948" s="20">
        <v>-0.24340194766564621</v>
      </c>
      <c r="E948" s="20">
        <v>0.40188308712131354</v>
      </c>
      <c r="F948" s="20">
        <v>7.9862828909463682E-2</v>
      </c>
      <c r="G948" s="20">
        <v>1.0832889743867207</v>
      </c>
      <c r="H948">
        <v>0.22500000000000001</v>
      </c>
    </row>
    <row r="949" spans="1:8" x14ac:dyDescent="0.25">
      <c r="A949" s="18">
        <v>621777.5</v>
      </c>
      <c r="B949" s="20">
        <v>1.3582165545120411E-3</v>
      </c>
      <c r="C949" s="20">
        <v>0.91284898720888452</v>
      </c>
      <c r="D949" s="20">
        <v>5.7247087018628996E-2</v>
      </c>
      <c r="E949" s="20">
        <v>0.65325797022545362</v>
      </c>
      <c r="F949" s="20">
        <v>5.2923983742270142E-2</v>
      </c>
      <c r="G949" s="20">
        <v>1.0659365520213655</v>
      </c>
      <c r="H949">
        <v>0.5</v>
      </c>
    </row>
    <row r="950" spans="1:8" x14ac:dyDescent="0.25">
      <c r="A950" s="18">
        <v>-111072</v>
      </c>
      <c r="B950" s="20">
        <v>1.5223591720403835E-3</v>
      </c>
      <c r="C950" s="20">
        <v>1.0453724369503019</v>
      </c>
      <c r="D950" s="20">
        <v>-2.8306740970842313E-2</v>
      </c>
      <c r="E950" s="20">
        <v>0.57006916456406798</v>
      </c>
      <c r="F950" s="20">
        <v>9.771982820026448E-3</v>
      </c>
      <c r="G950" s="20">
        <v>1.0354240304754507</v>
      </c>
      <c r="H950">
        <v>0.4</v>
      </c>
    </row>
    <row r="951" spans="1:8" x14ac:dyDescent="0.25">
      <c r="A951" s="18">
        <v>497991.25</v>
      </c>
      <c r="B951" s="20">
        <v>1.7721690037287761E-2</v>
      </c>
      <c r="C951" s="20">
        <v>0.86591330604598948</v>
      </c>
      <c r="D951" s="20">
        <v>0.13141923657804686</v>
      </c>
      <c r="E951" s="20">
        <v>0.55027406003109092</v>
      </c>
      <c r="F951" s="20">
        <v>3.6086034138461835E-2</v>
      </c>
      <c r="G951" s="20">
        <v>0.61931760493060573</v>
      </c>
      <c r="H951">
        <v>0.72499999999999998</v>
      </c>
    </row>
    <row r="952" spans="1:8" x14ac:dyDescent="0.25">
      <c r="A952" s="18">
        <v>-269677</v>
      </c>
      <c r="B952" s="20">
        <v>7.0939023225245843E-4</v>
      </c>
      <c r="C952" s="20">
        <v>1.1889757865714301</v>
      </c>
      <c r="D952" s="20">
        <v>-6.3090854601895979E-2</v>
      </c>
      <c r="E952" s="20">
        <v>0.89846859265481072</v>
      </c>
      <c r="F952" s="20">
        <v>4.7257840414951911E-4</v>
      </c>
      <c r="G952" s="20">
        <v>1.3413096994871156</v>
      </c>
      <c r="H952">
        <v>0.4</v>
      </c>
    </row>
    <row r="953" spans="1:8" x14ac:dyDescent="0.25">
      <c r="A953" s="18">
        <v>-244027</v>
      </c>
      <c r="B953" s="20">
        <v>2.7494619414268059E-4</v>
      </c>
      <c r="C953" s="20">
        <v>1.0996154925967068</v>
      </c>
      <c r="D953" s="20">
        <v>-0.14178828702676133</v>
      </c>
      <c r="E953" s="20">
        <v>0.63211088290861228</v>
      </c>
      <c r="F953" s="20">
        <v>4.5164450404574841E-2</v>
      </c>
      <c r="G953" s="20">
        <v>2.1351049058038107</v>
      </c>
      <c r="H953">
        <v>0.27500000000000002</v>
      </c>
    </row>
    <row r="954" spans="1:8" x14ac:dyDescent="0.25">
      <c r="A954" s="18">
        <v>-1465465</v>
      </c>
      <c r="B954" s="20">
        <v>8.8370271818907255E-4</v>
      </c>
      <c r="C954" s="20">
        <v>1.2197072026141595</v>
      </c>
      <c r="D954" s="20">
        <v>-0.18191102122854877</v>
      </c>
      <c r="E954" s="20">
        <v>0.88269420831991097</v>
      </c>
      <c r="F954" s="20">
        <v>3.9399479440274162E-3</v>
      </c>
      <c r="G954" s="20">
        <v>1.0553186109860879</v>
      </c>
      <c r="H954">
        <v>0.42499999999999999</v>
      </c>
    </row>
    <row r="955" spans="1:8" x14ac:dyDescent="0.25">
      <c r="A955" s="18">
        <v>-70556</v>
      </c>
      <c r="B955" s="20">
        <v>8.7750866976266906E-5</v>
      </c>
      <c r="C955" s="20">
        <v>1.1282624987977998</v>
      </c>
      <c r="D955" s="20">
        <v>-0.19497555758820131</v>
      </c>
      <c r="E955" s="20">
        <v>0.48059024771173431</v>
      </c>
      <c r="F955" s="20">
        <v>2.4428594720217979E-3</v>
      </c>
      <c r="G955" s="20">
        <v>1.0450734218063211</v>
      </c>
      <c r="H955">
        <v>0.27500000000000002</v>
      </c>
    </row>
    <row r="956" spans="1:8" x14ac:dyDescent="0.25">
      <c r="A956" s="18">
        <v>-35599</v>
      </c>
      <c r="B956" s="20">
        <v>1.8186215090045586E-3</v>
      </c>
      <c r="C956" s="20">
        <v>1.0119602381265698</v>
      </c>
      <c r="D956" s="20">
        <v>-6.2762970570215838E-3</v>
      </c>
      <c r="E956" s="20">
        <v>0.94762225458572169</v>
      </c>
      <c r="F956" s="20">
        <v>3.5048814566354752E-2</v>
      </c>
      <c r="G956" s="20">
        <v>2.6112487978616676</v>
      </c>
      <c r="H956">
        <v>0.4</v>
      </c>
    </row>
    <row r="957" spans="1:8" x14ac:dyDescent="0.25">
      <c r="A957" s="18">
        <v>-1000660</v>
      </c>
      <c r="B957" s="20">
        <v>1.2340148229693921E-3</v>
      </c>
      <c r="C957" s="20">
        <v>1.1149143787085769</v>
      </c>
      <c r="D957" s="20">
        <v>-0.13260231074096474</v>
      </c>
      <c r="E957" s="20">
        <v>0.45277608945693804</v>
      </c>
      <c r="F957" s="20">
        <v>9.0884382912793035E-2</v>
      </c>
      <c r="G957" s="20">
        <v>0.90788846529190392</v>
      </c>
      <c r="H957">
        <v>0.35</v>
      </c>
    </row>
    <row r="958" spans="1:8" x14ac:dyDescent="0.25">
      <c r="A958" s="18">
        <v>-1896245</v>
      </c>
      <c r="B958" s="20">
        <v>1.6371605969439677E-3</v>
      </c>
      <c r="C958" s="20">
        <v>1.2635690364132126</v>
      </c>
      <c r="D958" s="20">
        <v>-0.29273068860010681</v>
      </c>
      <c r="E958" s="20">
        <v>0.63023269977780572</v>
      </c>
      <c r="F958" s="20">
        <v>9.8631012476496586E-3</v>
      </c>
      <c r="G958" s="20">
        <v>1.3677081038658832</v>
      </c>
      <c r="H958">
        <v>0.32500000000000001</v>
      </c>
    </row>
    <row r="959" spans="1:8" x14ac:dyDescent="0.25">
      <c r="A959" s="18">
        <v>571092.5</v>
      </c>
      <c r="B959" s="20">
        <v>1.8454405391760548E-3</v>
      </c>
      <c r="C959" s="20">
        <v>0.90652983794739672</v>
      </c>
      <c r="D959" s="20">
        <v>7.1544228092659201E-2</v>
      </c>
      <c r="E959" s="20">
        <v>0.71929670424732139</v>
      </c>
      <c r="F959" s="20">
        <v>2.4747036281204705E-3</v>
      </c>
      <c r="G959" s="20">
        <v>0.22927697370727226</v>
      </c>
      <c r="H959">
        <v>0.7</v>
      </c>
    </row>
    <row r="960" spans="1:8" x14ac:dyDescent="0.25">
      <c r="A960" s="18">
        <v>605727.5</v>
      </c>
      <c r="B960" s="20">
        <v>6.7289580467049957E-4</v>
      </c>
      <c r="C960" s="20">
        <v>0.87468489517227799</v>
      </c>
      <c r="D960" s="20">
        <v>0.14196916851844776</v>
      </c>
      <c r="E960" s="20">
        <v>0.25038466316745789</v>
      </c>
      <c r="F960" s="20">
        <v>1.1285298197891395E-2</v>
      </c>
      <c r="G960" s="20">
        <v>1.1284754108032715</v>
      </c>
      <c r="H960">
        <v>0.35</v>
      </c>
    </row>
    <row r="961" spans="1:8" x14ac:dyDescent="0.25">
      <c r="A961" s="18">
        <v>-72159</v>
      </c>
      <c r="B961" s="20">
        <v>7.1313663857810496E-4</v>
      </c>
      <c r="C961" s="20">
        <v>1.1097211649868088</v>
      </c>
      <c r="D961" s="20">
        <v>-6.2431379470554493E-2</v>
      </c>
      <c r="E961" s="20">
        <v>0.98666253498907752</v>
      </c>
      <c r="F961" s="20">
        <v>1.9214180840672324E-2</v>
      </c>
      <c r="G961" s="20">
        <v>1.3872103633752275</v>
      </c>
      <c r="H961">
        <v>0.35</v>
      </c>
    </row>
    <row r="962" spans="1:8" x14ac:dyDescent="0.25">
      <c r="A962" s="18">
        <v>-376643</v>
      </c>
      <c r="B962" s="20">
        <v>7.0824044528687645E-4</v>
      </c>
      <c r="C962" s="20">
        <v>1.0905204983453283</v>
      </c>
      <c r="D962" s="20">
        <v>-0.10567496173718108</v>
      </c>
      <c r="E962" s="20">
        <v>0.43230768111143053</v>
      </c>
      <c r="F962" s="20">
        <v>7.5411491892210372E-2</v>
      </c>
      <c r="G962" s="20">
        <v>1.1711305782196735</v>
      </c>
      <c r="H962">
        <v>0.15</v>
      </c>
    </row>
    <row r="963" spans="1:8" x14ac:dyDescent="0.25">
      <c r="A963" s="18">
        <v>-1390216</v>
      </c>
      <c r="B963" s="20">
        <v>1.2672410892598787E-3</v>
      </c>
      <c r="C963" s="20">
        <v>1.1964456477420065</v>
      </c>
      <c r="D963" s="20">
        <v>-0.14373569974452105</v>
      </c>
      <c r="E963" s="20">
        <v>0.6727519741161011</v>
      </c>
      <c r="F963" s="20">
        <v>1.954842985391898E-2</v>
      </c>
      <c r="G963" s="20">
        <v>0.95850812637505034</v>
      </c>
      <c r="H963">
        <v>0.47499999999999998</v>
      </c>
    </row>
    <row r="964" spans="1:8" x14ac:dyDescent="0.25">
      <c r="A964" s="18">
        <v>769317.5</v>
      </c>
      <c r="B964" s="20">
        <v>1.6907128174658834E-3</v>
      </c>
      <c r="C964" s="20">
        <v>0.90719927403905942</v>
      </c>
      <c r="D964" s="20">
        <v>6.3000762985514741E-2</v>
      </c>
      <c r="E964" s="20">
        <v>0.77040857914503302</v>
      </c>
      <c r="F964" s="20">
        <v>1.5360191482585595E-2</v>
      </c>
      <c r="G964" s="20">
        <v>1.0899855311428008</v>
      </c>
      <c r="H964">
        <v>0.625</v>
      </c>
    </row>
    <row r="965" spans="1:8" x14ac:dyDescent="0.25">
      <c r="A965" s="18">
        <v>807588.75</v>
      </c>
      <c r="B965" s="20">
        <v>5.1395126774381886E-3</v>
      </c>
      <c r="C965" s="20">
        <v>0.89404355597565943</v>
      </c>
      <c r="D965" s="20">
        <v>9.2720868410308646E-2</v>
      </c>
      <c r="E965" s="20">
        <v>0.94935866266732105</v>
      </c>
      <c r="F965" s="20">
        <v>6.5303909623678456E-3</v>
      </c>
      <c r="G965" s="20">
        <v>0.50350111583231005</v>
      </c>
      <c r="H965">
        <v>0.8</v>
      </c>
    </row>
    <row r="966" spans="1:8" x14ac:dyDescent="0.25">
      <c r="A966" s="18">
        <v>154270</v>
      </c>
      <c r="B966" s="20">
        <v>3.7200389974945476E-3</v>
      </c>
      <c r="C966" s="20">
        <v>0.90946680018862314</v>
      </c>
      <c r="D966" s="20">
        <v>4.557825621438414E-2</v>
      </c>
      <c r="E966" s="20">
        <v>0.97472930009676084</v>
      </c>
      <c r="F966" s="20">
        <v>4.859474675660792E-3</v>
      </c>
      <c r="G966" s="20">
        <v>0.36099210923752995</v>
      </c>
      <c r="H966">
        <v>0.75</v>
      </c>
    </row>
    <row r="967" spans="1:8" x14ac:dyDescent="0.25">
      <c r="A967" s="18">
        <v>-1257643</v>
      </c>
      <c r="B967" s="20">
        <v>1.298021868807271E-3</v>
      </c>
      <c r="C967" s="20">
        <v>1.1767374650626041</v>
      </c>
      <c r="D967" s="20">
        <v>-0.19882674729076991</v>
      </c>
      <c r="E967" s="20">
        <v>0.77606082437647139</v>
      </c>
      <c r="F967" s="20">
        <v>1.1511194451633363E-2</v>
      </c>
      <c r="G967" s="20">
        <v>0.78447695377657611</v>
      </c>
      <c r="H967">
        <v>0.55000000000000004</v>
      </c>
    </row>
    <row r="968" spans="1:8" x14ac:dyDescent="0.25">
      <c r="A968" s="18">
        <v>2386225</v>
      </c>
      <c r="B968" s="20">
        <v>2.3697664327129902E-3</v>
      </c>
      <c r="C968" s="20">
        <v>0.80450372688597771</v>
      </c>
      <c r="D968" s="20">
        <v>0.13874576468483407</v>
      </c>
      <c r="E968" s="20">
        <v>0.6859041730634976</v>
      </c>
      <c r="F968" s="20">
        <v>3.6955397907834399E-2</v>
      </c>
      <c r="G968" s="20">
        <v>0.71944363858001559</v>
      </c>
      <c r="H968">
        <v>0.625</v>
      </c>
    </row>
    <row r="969" spans="1:8" x14ac:dyDescent="0.25">
      <c r="A969" s="18">
        <v>1575725</v>
      </c>
      <c r="B969" s="20">
        <v>1.7518750938454444E-3</v>
      </c>
      <c r="C969" s="20">
        <v>0.79990516047401927</v>
      </c>
      <c r="D969" s="20">
        <v>0.12084393234963828</v>
      </c>
      <c r="E969" s="20">
        <v>0.65639908792146329</v>
      </c>
      <c r="F969" s="20">
        <v>3.011195582843578E-3</v>
      </c>
      <c r="G969" s="20">
        <v>1.1150141187205125</v>
      </c>
      <c r="H969">
        <v>0.47499999999999998</v>
      </c>
    </row>
    <row r="970" spans="1:8" x14ac:dyDescent="0.25">
      <c r="A970" s="18">
        <v>-107139</v>
      </c>
      <c r="B970" s="20">
        <v>8.2800612847021933E-4</v>
      </c>
      <c r="C970" s="20">
        <v>1.1720147710817599</v>
      </c>
      <c r="D970" s="20">
        <v>-0.17382169562910771</v>
      </c>
      <c r="E970" s="20">
        <v>0.88556539879486573</v>
      </c>
      <c r="F970" s="20">
        <v>6.4457722839903761E-3</v>
      </c>
      <c r="G970" s="20">
        <v>0.47583237642797738</v>
      </c>
      <c r="H970">
        <v>0.5</v>
      </c>
    </row>
    <row r="971" spans="1:8" x14ac:dyDescent="0.25">
      <c r="A971" s="18">
        <v>1188862.5</v>
      </c>
      <c r="B971" s="20">
        <v>3.949227630369802E-3</v>
      </c>
      <c r="C971" s="20">
        <v>0.85774460051873469</v>
      </c>
      <c r="D971" s="20">
        <v>8.6210047191863329E-2</v>
      </c>
      <c r="E971" s="20">
        <v>0.90958386292296545</v>
      </c>
      <c r="F971" s="20">
        <v>8.341804867058376E-3</v>
      </c>
      <c r="G971" s="20">
        <v>1.5805196737009344</v>
      </c>
      <c r="H971">
        <v>0.6</v>
      </c>
    </row>
    <row r="972" spans="1:8" x14ac:dyDescent="0.25">
      <c r="A972" s="18">
        <v>425230</v>
      </c>
      <c r="B972" s="20">
        <v>8.3799443057837428E-4</v>
      </c>
      <c r="C972" s="20">
        <v>0.85929665922653542</v>
      </c>
      <c r="D972" s="20">
        <v>8.3820758445498772E-2</v>
      </c>
      <c r="E972" s="20">
        <v>0.88799437490679112</v>
      </c>
      <c r="F972" s="20">
        <v>4.0886347898232379E-3</v>
      </c>
      <c r="G972" s="20">
        <v>1.1394037687404321</v>
      </c>
      <c r="H972">
        <v>0.5</v>
      </c>
    </row>
    <row r="973" spans="1:8" x14ac:dyDescent="0.25">
      <c r="A973" s="18">
        <v>-1967004</v>
      </c>
      <c r="B973" s="20">
        <v>9.1222511056900601E-4</v>
      </c>
      <c r="C973" s="20">
        <v>1.2764235470617891</v>
      </c>
      <c r="D973" s="20">
        <v>-0.30394221679271927</v>
      </c>
      <c r="E973" s="20">
        <v>0.8059275852488571</v>
      </c>
      <c r="F973" s="20">
        <v>2.5705393286830937E-2</v>
      </c>
      <c r="G973" s="20">
        <v>0.92037019188810743</v>
      </c>
      <c r="H973">
        <v>0.5</v>
      </c>
    </row>
    <row r="974" spans="1:8" x14ac:dyDescent="0.25">
      <c r="A974" s="18">
        <v>-114970</v>
      </c>
      <c r="B974" s="20">
        <v>1.6331866001641242E-4</v>
      </c>
      <c r="C974" s="20">
        <v>1.1497280911740217</v>
      </c>
      <c r="D974" s="20">
        <v>-0.14086526091378021</v>
      </c>
      <c r="E974" s="20">
        <v>0.58876954040815732</v>
      </c>
      <c r="F974" s="20">
        <v>5.6390212823308868E-2</v>
      </c>
      <c r="G974" s="20">
        <v>1.3921450489038485</v>
      </c>
      <c r="H974">
        <v>0.22500000000000001</v>
      </c>
    </row>
    <row r="975" spans="1:8" x14ac:dyDescent="0.25">
      <c r="A975" s="18">
        <v>-252182</v>
      </c>
      <c r="B975" s="20">
        <v>7.6235020656827308E-3</v>
      </c>
      <c r="C975" s="20">
        <v>1.0358581630912731</v>
      </c>
      <c r="D975" s="20">
        <v>-4.0467576690488401E-2</v>
      </c>
      <c r="E975" s="20">
        <v>0.7366061534348074</v>
      </c>
      <c r="F975" s="20">
        <v>5.2010324622234205E-2</v>
      </c>
      <c r="G975" s="20">
        <v>2.980097463288478</v>
      </c>
      <c r="H975">
        <v>0.45</v>
      </c>
    </row>
    <row r="976" spans="1:8" x14ac:dyDescent="0.25">
      <c r="A976" s="18">
        <v>-957082</v>
      </c>
      <c r="B976" s="20">
        <v>8.6332053454127007E-4</v>
      </c>
      <c r="C976" s="20">
        <v>1.1443452217443966</v>
      </c>
      <c r="D976" s="20">
        <v>-0.1469114776846463</v>
      </c>
      <c r="E976" s="20">
        <v>0.58776166018984854</v>
      </c>
      <c r="F976" s="20">
        <v>2.0742368971024693E-3</v>
      </c>
      <c r="G976" s="20">
        <v>1.4651436675985801</v>
      </c>
      <c r="H976">
        <v>0.27500000000000002</v>
      </c>
    </row>
    <row r="977" spans="1:8" x14ac:dyDescent="0.25">
      <c r="A977" s="18">
        <v>-1876437</v>
      </c>
      <c r="B977" s="20">
        <v>5.1385058892636985E-4</v>
      </c>
      <c r="C977" s="20">
        <v>1.2588402969424688</v>
      </c>
      <c r="D977" s="20">
        <v>-0.28739552557699288</v>
      </c>
      <c r="E977" s="20">
        <v>0.58122632326018941</v>
      </c>
      <c r="F977" s="20">
        <v>3.5565337389016267E-3</v>
      </c>
      <c r="G977" s="20">
        <v>1.504768404904014</v>
      </c>
      <c r="H977">
        <v>0.27500000000000002</v>
      </c>
    </row>
    <row r="978" spans="1:8" x14ac:dyDescent="0.25">
      <c r="A978" s="18">
        <v>-622050</v>
      </c>
      <c r="B978" s="20">
        <v>1.216181796101876E-3</v>
      </c>
      <c r="C978" s="20">
        <v>1.1771228080143754</v>
      </c>
      <c r="D978" s="20">
        <v>-8.697522118523715E-2</v>
      </c>
      <c r="E978" s="20">
        <v>0.8979140304493225</v>
      </c>
      <c r="F978" s="20">
        <v>5.6156029394143232E-3</v>
      </c>
      <c r="G978" s="20">
        <v>0.70717361080130259</v>
      </c>
      <c r="H978">
        <v>0.55000000000000004</v>
      </c>
    </row>
    <row r="979" spans="1:8" x14ac:dyDescent="0.25">
      <c r="A979" s="18">
        <v>-1142837</v>
      </c>
      <c r="B979" s="20">
        <v>5.4391574724336495E-3</v>
      </c>
      <c r="C979" s="20">
        <v>1.2061840121479004</v>
      </c>
      <c r="D979" s="20">
        <v>-0.17742860740285563</v>
      </c>
      <c r="E979" s="20">
        <v>0.58094435547384449</v>
      </c>
      <c r="F979" s="20">
        <v>1.5962779080434752E-2</v>
      </c>
      <c r="G979" s="20">
        <v>1.25924980998361</v>
      </c>
      <c r="H979">
        <v>0.42499999999999999</v>
      </c>
    </row>
    <row r="980" spans="1:8" x14ac:dyDescent="0.25">
      <c r="A980" s="18">
        <v>-249697</v>
      </c>
      <c r="B980" s="20">
        <v>2.7940277534129997E-2</v>
      </c>
      <c r="C980" s="20">
        <v>1.0346045682426881</v>
      </c>
      <c r="D980" s="20">
        <v>-1.1183854566041523E-2</v>
      </c>
      <c r="E980" s="20">
        <v>0.91095601754674504</v>
      </c>
      <c r="F980" s="20">
        <v>5.8590754688586152E-3</v>
      </c>
      <c r="G980" s="20">
        <v>1.0855271522336107</v>
      </c>
      <c r="H980">
        <v>0.57499999999999996</v>
      </c>
    </row>
    <row r="981" spans="1:8" x14ac:dyDescent="0.25">
      <c r="A981" s="18">
        <v>28257.8</v>
      </c>
      <c r="B981" s="20">
        <v>3.9034232496208704E-4</v>
      </c>
      <c r="C981" s="20">
        <v>0.98774513136367137</v>
      </c>
      <c r="D981" s="20">
        <v>1.1684004526767178E-2</v>
      </c>
      <c r="E981" s="20">
        <v>0.9752358547628226</v>
      </c>
      <c r="F981" s="20">
        <v>3.1184993361595994E-2</v>
      </c>
      <c r="G981" s="20">
        <v>-2.341926187309852</v>
      </c>
      <c r="H981">
        <v>0.65</v>
      </c>
    </row>
    <row r="982" spans="1:8" x14ac:dyDescent="0.25">
      <c r="A982" s="18">
        <v>583408.75</v>
      </c>
      <c r="B982" s="20">
        <v>1.1259897234402742E-3</v>
      </c>
      <c r="C982" s="20">
        <v>0.8922357432285184</v>
      </c>
      <c r="D982" s="20">
        <v>7.9720295821538528E-2</v>
      </c>
      <c r="E982" s="20">
        <v>0.71884742317094186</v>
      </c>
      <c r="F982" s="20">
        <v>5.6538114037940498E-2</v>
      </c>
      <c r="G982" s="20">
        <v>0.6087600193235142</v>
      </c>
      <c r="H982">
        <v>0.65</v>
      </c>
    </row>
    <row r="983" spans="1:8" x14ac:dyDescent="0.25">
      <c r="A983" s="18">
        <v>262292.5</v>
      </c>
      <c r="B983" s="20">
        <v>2.6385721585902282E-3</v>
      </c>
      <c r="C983" s="20">
        <v>0.95325383149352694</v>
      </c>
      <c r="D983" s="20">
        <v>5.4253173270519477E-2</v>
      </c>
      <c r="E983" s="20">
        <v>0.40642929073973616</v>
      </c>
      <c r="F983" s="20">
        <v>1.456169504749305E-4</v>
      </c>
      <c r="G983" s="20">
        <v>1.3834532502198655</v>
      </c>
      <c r="H983">
        <v>0.45</v>
      </c>
    </row>
    <row r="984" spans="1:8" x14ac:dyDescent="0.25">
      <c r="A984" s="18">
        <v>69272.5</v>
      </c>
      <c r="B984" s="20">
        <v>1.282081201173529E-4</v>
      </c>
      <c r="C984" s="20">
        <v>0.8819522734808698</v>
      </c>
      <c r="D984" s="20">
        <v>9.7935054451169248E-2</v>
      </c>
      <c r="E984" s="20">
        <v>0.43325670667056232</v>
      </c>
      <c r="F984" s="20">
        <v>6.7582221053509597E-2</v>
      </c>
      <c r="G984" s="20">
        <v>0.57883546105491102</v>
      </c>
      <c r="H984">
        <v>0.45</v>
      </c>
    </row>
    <row r="985" spans="1:8" x14ac:dyDescent="0.25">
      <c r="A985" s="18">
        <v>-1832628</v>
      </c>
      <c r="B985" s="20">
        <v>2.1674349904690596E-2</v>
      </c>
      <c r="C985" s="20">
        <v>1.2512046296371166</v>
      </c>
      <c r="D985" s="20">
        <v>-9.6411166774039894E-2</v>
      </c>
      <c r="E985" s="20">
        <v>0.68836284763371058</v>
      </c>
      <c r="F985" s="20">
        <v>4.5941118224083572E-3</v>
      </c>
      <c r="G985" s="20">
        <v>0.80668125883974973</v>
      </c>
      <c r="H985">
        <v>0.57499999999999996</v>
      </c>
    </row>
    <row r="986" spans="1:8" x14ac:dyDescent="0.25">
      <c r="A986" s="18">
        <v>-860879</v>
      </c>
      <c r="B986" s="20">
        <v>6.814207404615822E-4</v>
      </c>
      <c r="C986" s="20">
        <v>1.2025510645989772</v>
      </c>
      <c r="D986" s="20">
        <v>-0.17227268615869565</v>
      </c>
      <c r="E986" s="20">
        <v>0.41604586139858252</v>
      </c>
      <c r="F986" s="20">
        <v>2.1302380458770011E-2</v>
      </c>
      <c r="G986" s="20">
        <v>0.88975383378899253</v>
      </c>
      <c r="H986">
        <v>0.35</v>
      </c>
    </row>
    <row r="987" spans="1:8" x14ac:dyDescent="0.25">
      <c r="A987" s="18">
        <v>812495</v>
      </c>
      <c r="B987" s="20">
        <v>5.96244680180112E-3</v>
      </c>
      <c r="C987" s="20">
        <v>0.81583853453577604</v>
      </c>
      <c r="D987" s="20">
        <v>0.1258404061239507</v>
      </c>
      <c r="E987" s="20">
        <v>0.84837631791950052</v>
      </c>
      <c r="F987" s="20">
        <v>3.0886149586675609E-2</v>
      </c>
      <c r="G987" s="20">
        <v>0.50030991561565319</v>
      </c>
      <c r="H987">
        <v>0.8</v>
      </c>
    </row>
    <row r="988" spans="1:8" x14ac:dyDescent="0.25">
      <c r="A988" s="18">
        <v>-2034082</v>
      </c>
      <c r="B988" s="20">
        <v>2.9278790233254874E-3</v>
      </c>
      <c r="C988" s="20">
        <v>1.2401340237198872</v>
      </c>
      <c r="D988" s="20">
        <v>-0.2240398259344612</v>
      </c>
      <c r="E988" s="20">
        <v>0.43314237417851709</v>
      </c>
      <c r="F988" s="20">
        <v>9.5879452488124104E-3</v>
      </c>
      <c r="G988" s="20">
        <v>0.7715580820958905</v>
      </c>
      <c r="H988">
        <v>0.4</v>
      </c>
    </row>
    <row r="989" spans="1:8" x14ac:dyDescent="0.25">
      <c r="A989" s="18">
        <v>-1120214</v>
      </c>
      <c r="B989" s="20">
        <v>6.5466122727027834E-3</v>
      </c>
      <c r="C989" s="20">
        <v>1.2247315193502217</v>
      </c>
      <c r="D989" s="20">
        <v>-0.12989263989170879</v>
      </c>
      <c r="E989" s="20">
        <v>0.96468913377061249</v>
      </c>
      <c r="F989" s="20">
        <v>6.7447782988080102E-2</v>
      </c>
      <c r="G989" s="20">
        <v>0.4649877026053536</v>
      </c>
      <c r="H989">
        <v>0.6</v>
      </c>
    </row>
    <row r="990" spans="1:8" x14ac:dyDescent="0.25">
      <c r="A990" s="18">
        <v>-1031968</v>
      </c>
      <c r="B990" s="20">
        <v>2.6420625038226751E-3</v>
      </c>
      <c r="C990" s="20">
        <v>1.1890320189522092</v>
      </c>
      <c r="D990" s="20">
        <v>-0.16343546941563514</v>
      </c>
      <c r="E990" s="20">
        <v>0.46688960831681886</v>
      </c>
      <c r="F990" s="20">
        <v>2.4095126193674186E-2</v>
      </c>
      <c r="G990" s="20">
        <v>0.60635852921406741</v>
      </c>
      <c r="H990">
        <v>0.4</v>
      </c>
    </row>
    <row r="991" spans="1:8" x14ac:dyDescent="0.25">
      <c r="A991" s="18">
        <v>102368.75</v>
      </c>
      <c r="B991" s="20">
        <v>2.3176314891366296E-4</v>
      </c>
      <c r="C991" s="20">
        <v>0.88452632310338519</v>
      </c>
      <c r="D991" s="20">
        <v>8.7823206988880631E-2</v>
      </c>
      <c r="E991" s="20">
        <v>0.72965263310764794</v>
      </c>
      <c r="F991" s="20">
        <v>5.8389376324935252E-3</v>
      </c>
      <c r="G991" s="20">
        <v>0.42961495134512251</v>
      </c>
      <c r="H991">
        <v>0.65</v>
      </c>
    </row>
    <row r="992" spans="1:8" x14ac:dyDescent="0.25">
      <c r="A992" s="18">
        <v>-539593</v>
      </c>
      <c r="B992" s="20">
        <v>1.2240575753530061E-2</v>
      </c>
      <c r="C992" s="20">
        <v>1.0829788325084055</v>
      </c>
      <c r="D992" s="20">
        <v>-5.9171770882965907E-2</v>
      </c>
      <c r="E992" s="20">
        <v>0.62129794526871107</v>
      </c>
      <c r="F992" s="20">
        <v>9.9060268590249363E-3</v>
      </c>
      <c r="G992" s="20">
        <v>0.96786669889234578</v>
      </c>
      <c r="H992">
        <v>0.57499999999999996</v>
      </c>
    </row>
    <row r="993" spans="1:8" x14ac:dyDescent="0.25">
      <c r="A993" s="18">
        <v>-380821</v>
      </c>
      <c r="B993" s="20">
        <v>4.0070579750963798E-4</v>
      </c>
      <c r="C993" s="20">
        <v>1.1999210905185815</v>
      </c>
      <c r="D993" s="20">
        <v>-0.15309860847953888</v>
      </c>
      <c r="E993" s="20">
        <v>0.3530583750238987</v>
      </c>
      <c r="F993" s="20">
        <v>1.2462697337766837E-3</v>
      </c>
      <c r="G993" s="20">
        <v>1.5903680735211385</v>
      </c>
      <c r="H993">
        <v>0.2</v>
      </c>
    </row>
    <row r="994" spans="1:8" x14ac:dyDescent="0.25">
      <c r="A994" s="18">
        <v>658720</v>
      </c>
      <c r="B994" s="20">
        <v>4.6268280209199933E-4</v>
      </c>
      <c r="C994" s="20">
        <v>0.83704537318693018</v>
      </c>
      <c r="D994" s="20">
        <v>0.17673016990478807</v>
      </c>
      <c r="E994" s="20">
        <v>0.6503018097418326</v>
      </c>
      <c r="F994" s="20">
        <v>5.5046006936991854E-2</v>
      </c>
      <c r="G994" s="20">
        <v>1.458317142881552</v>
      </c>
      <c r="H994">
        <v>0.375</v>
      </c>
    </row>
    <row r="995" spans="1:8" x14ac:dyDescent="0.25">
      <c r="A995" s="18">
        <v>-895835</v>
      </c>
      <c r="B995" s="20">
        <v>3.7522953790046498E-2</v>
      </c>
      <c r="C995" s="20">
        <v>1.1199018211148659</v>
      </c>
      <c r="D995" s="20">
        <v>-0.11694789155419347</v>
      </c>
      <c r="E995" s="20">
        <v>0.57531532189209955</v>
      </c>
      <c r="F995" s="20">
        <v>4.4183897356190591E-2</v>
      </c>
      <c r="G995" s="20">
        <v>1.2889865149347035</v>
      </c>
      <c r="H995">
        <v>0.42499999999999999</v>
      </c>
    </row>
    <row r="996" spans="1:8" x14ac:dyDescent="0.25">
      <c r="A996" s="18">
        <v>200581.25</v>
      </c>
      <c r="B996" s="20">
        <v>8.1323071347461052E-4</v>
      </c>
      <c r="C996" s="20">
        <v>0.92971174288514657</v>
      </c>
      <c r="D996" s="20">
        <v>0.12348385694726266</v>
      </c>
      <c r="E996" s="20">
        <v>0.56972537751910302</v>
      </c>
      <c r="F996" s="20">
        <v>5.6601032288567995E-3</v>
      </c>
      <c r="G996" s="20">
        <v>0.55165155439173919</v>
      </c>
      <c r="H996">
        <v>0.57499999999999996</v>
      </c>
    </row>
    <row r="997" spans="1:8" x14ac:dyDescent="0.25">
      <c r="A997" s="18">
        <v>140722.5</v>
      </c>
      <c r="B997" s="20">
        <v>5.1288990774564095E-3</v>
      </c>
      <c r="C997" s="20">
        <v>0.97807377241060722</v>
      </c>
      <c r="D997" s="20">
        <v>1.2066930141587544E-2</v>
      </c>
      <c r="E997" s="20">
        <v>0.87247685418981247</v>
      </c>
      <c r="F997" s="20">
        <v>2.30297455005136E-2</v>
      </c>
      <c r="G997" s="20">
        <v>0.9320638576817154</v>
      </c>
      <c r="H997">
        <v>0.8</v>
      </c>
    </row>
    <row r="998" spans="1:8" x14ac:dyDescent="0.25">
      <c r="A998" s="18">
        <v>-20689</v>
      </c>
      <c r="B998" s="20">
        <v>1.6724837819372899E-4</v>
      </c>
      <c r="C998" s="20">
        <v>1.0172975743548256</v>
      </c>
      <c r="D998" s="20">
        <v>-1.0849222085238419E-2</v>
      </c>
      <c r="E998" s="20">
        <v>0.57938110251387798</v>
      </c>
      <c r="F998" s="20">
        <v>1.9702069842162145E-2</v>
      </c>
      <c r="G998" s="20">
        <v>1.3879312081752158</v>
      </c>
      <c r="H998">
        <v>0.27500000000000002</v>
      </c>
    </row>
    <row r="999" spans="1:8" x14ac:dyDescent="0.25">
      <c r="A999" s="18">
        <v>81833.75</v>
      </c>
      <c r="B999" s="20">
        <v>2.3687300227624939E-4</v>
      </c>
      <c r="C999" s="20">
        <v>0.81945351757062568</v>
      </c>
      <c r="D999" s="20">
        <v>8.6310139051781601E-2</v>
      </c>
      <c r="E999" s="20">
        <v>0.77136592727583364</v>
      </c>
      <c r="F999" s="20">
        <v>1.4700422724166154E-2</v>
      </c>
      <c r="G999" s="20">
        <v>0.46917577292349816</v>
      </c>
      <c r="H999">
        <v>0.65</v>
      </c>
    </row>
    <row r="1000" spans="1:8" x14ac:dyDescent="0.25">
      <c r="A1000" s="18">
        <v>-707105</v>
      </c>
      <c r="B1000" s="20">
        <v>6.994847904371245E-4</v>
      </c>
      <c r="C1000" s="20">
        <v>1.1463789404571076</v>
      </c>
      <c r="D1000" s="20">
        <v>-0.12528668139880678</v>
      </c>
      <c r="E1000" s="20">
        <v>0.73027452565570006</v>
      </c>
      <c r="F1000" s="20">
        <v>4.0897989615683916E-2</v>
      </c>
      <c r="G1000" s="20">
        <v>1.3129211900145403</v>
      </c>
      <c r="H1000">
        <v>0.35</v>
      </c>
    </row>
    <row r="1001" spans="1:8" x14ac:dyDescent="0.25">
      <c r="A1001" s="18">
        <v>176152.5</v>
      </c>
      <c r="B1001" s="20">
        <v>7.3986803014920244E-3</v>
      </c>
      <c r="C1001" s="20">
        <v>0.98061378427780699</v>
      </c>
      <c r="D1001" s="20">
        <v>1.3231081024442939E-2</v>
      </c>
      <c r="E1001" s="20">
        <v>0.9499331334889306</v>
      </c>
      <c r="F1001" s="20">
        <v>4.0956055407660981E-3</v>
      </c>
      <c r="G1001" s="20">
        <v>2.8282315251250738E-2</v>
      </c>
      <c r="H1001">
        <v>0.8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EF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Niroo Selvam</dc:creator>
  <cp:lastModifiedBy>Niroo Selvam</cp:lastModifiedBy>
  <dcterms:created xsi:type="dcterms:W3CDTF">2015-06-05T18:19:34Z</dcterms:created>
  <dcterms:modified xsi:type="dcterms:W3CDTF">2023-07-27T18:55:49Z</dcterms:modified>
</cp:coreProperties>
</file>